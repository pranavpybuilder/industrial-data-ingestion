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hidePivotFieldList="1"/>
  <bookViews>
    <workbookView xWindow="0" yWindow="0" windowWidth="20730" windowHeight="9600" firstSheet="1" activeTab="2"/>
  </bookViews>
  <sheets>
    <sheet name="FeederNames" sheetId="27" state="hidden" r:id="rId1"/>
    <sheet name="Production data" sheetId="31" r:id="rId2"/>
    <sheet name="Sep 2025" sheetId="5" r:id="rId3"/>
  </sheets>
  <calcPr calcId="145621"/>
</workbook>
</file>

<file path=xl/calcChain.xml><?xml version="1.0" encoding="utf-8"?>
<calcChain xmlns="http://schemas.openxmlformats.org/spreadsheetml/2006/main">
  <c r="DW13" i="5" l="1"/>
  <c r="DS13" i="5"/>
  <c r="DO13" i="5"/>
  <c r="DK13" i="5"/>
  <c r="DG13" i="5"/>
  <c r="DC13" i="5"/>
  <c r="CY13" i="5"/>
  <c r="CU13" i="5"/>
  <c r="CQ13" i="5"/>
  <c r="CM13" i="5"/>
  <c r="CI13" i="5"/>
  <c r="CE13" i="5"/>
  <c r="CA13" i="5"/>
  <c r="BW13" i="5"/>
  <c r="BS13" i="5"/>
  <c r="BO13" i="5"/>
  <c r="BK13" i="5"/>
  <c r="BG13" i="5"/>
  <c r="BC13" i="5"/>
  <c r="AY13" i="5"/>
  <c r="AU13" i="5"/>
  <c r="AQ13" i="5"/>
  <c r="AM13" i="5"/>
  <c r="AI13" i="5"/>
  <c r="AE13" i="5"/>
  <c r="AA13" i="5"/>
  <c r="W13" i="5"/>
  <c r="S13" i="5"/>
  <c r="O13" i="5"/>
  <c r="K13" i="5"/>
  <c r="G13" i="5"/>
  <c r="G11" i="5"/>
  <c r="DW25" i="5" l="1"/>
  <c r="DW24" i="5"/>
  <c r="DS25" i="5"/>
  <c r="DS24" i="5"/>
  <c r="DO25" i="5"/>
  <c r="DO24" i="5"/>
  <c r="DG25" i="5"/>
  <c r="DG24" i="5"/>
  <c r="DC25" i="5"/>
  <c r="DC24" i="5"/>
  <c r="CY25" i="5"/>
  <c r="CY24" i="5"/>
  <c r="CU25" i="5"/>
  <c r="CU24" i="5"/>
  <c r="CQ25" i="5"/>
  <c r="CQ24" i="5"/>
  <c r="CM25" i="5"/>
  <c r="CM24" i="5"/>
  <c r="CI25" i="5"/>
  <c r="CI24" i="5"/>
  <c r="CE25" i="5"/>
  <c r="CE24" i="5"/>
  <c r="CA25" i="5"/>
  <c r="CA24" i="5"/>
  <c r="BW25" i="5"/>
  <c r="BW24" i="5"/>
  <c r="BS25" i="5"/>
  <c r="BS24" i="5"/>
  <c r="BO25" i="5"/>
  <c r="BO24" i="5"/>
  <c r="BK25" i="5" l="1"/>
  <c r="BK24" i="5"/>
  <c r="BG25" i="5"/>
  <c r="BG24" i="5"/>
  <c r="BH24" i="5" s="1"/>
  <c r="BI24" i="5" s="1"/>
  <c r="DK42" i="5"/>
  <c r="DK36" i="5"/>
  <c r="DK25" i="5"/>
  <c r="DK24" i="5"/>
  <c r="DL24" i="5" s="1"/>
  <c r="DM24" i="5" s="1"/>
  <c r="BC25" i="5"/>
  <c r="BC24" i="5"/>
  <c r="BD24" i="5" s="1"/>
  <c r="BE24" i="5" s="1"/>
  <c r="AY25" i="5"/>
  <c r="AY24" i="5"/>
  <c r="AZ24" i="5" s="1"/>
  <c r="BA24" i="5" s="1"/>
  <c r="AU25" i="5"/>
  <c r="AU24" i="5"/>
  <c r="AV24" i="5" s="1"/>
  <c r="AW24" i="5" s="1"/>
  <c r="AQ25" i="5"/>
  <c r="AQ24" i="5"/>
  <c r="AR24" i="5" s="1"/>
  <c r="AS24" i="5" s="1"/>
  <c r="AM25" i="5"/>
  <c r="AM24" i="5"/>
  <c r="AN24" i="5" s="1"/>
  <c r="AO24" i="5" s="1"/>
  <c r="AI25" i="5"/>
  <c r="AI24" i="5"/>
  <c r="AJ24" i="5" s="1"/>
  <c r="AK24" i="5" s="1"/>
  <c r="AE25" i="5"/>
  <c r="AE24" i="5"/>
  <c r="AF24" i="5" s="1"/>
  <c r="AG24" i="5" s="1"/>
  <c r="AA24" i="5"/>
  <c r="AB24" i="5" s="1"/>
  <c r="AC24" i="5" s="1"/>
  <c r="W25" i="5"/>
  <c r="W24" i="5"/>
  <c r="X24" i="5" s="1"/>
  <c r="Y24" i="5" s="1"/>
  <c r="S25" i="5"/>
  <c r="S24" i="5"/>
  <c r="T24" i="5" s="1"/>
  <c r="U24" i="5" s="1"/>
  <c r="O25" i="5"/>
  <c r="O24" i="5"/>
  <c r="P24" i="5" s="1"/>
  <c r="Q24" i="5" s="1"/>
  <c r="K25" i="5"/>
  <c r="K24" i="5"/>
  <c r="L24" i="5" s="1"/>
  <c r="M24" i="5" s="1"/>
  <c r="G25" i="5"/>
  <c r="G24" i="5"/>
  <c r="DZ24" i="5"/>
  <c r="DX24" i="5"/>
  <c r="DY24" i="5" s="1"/>
  <c r="DT24" i="5"/>
  <c r="DU24" i="5" s="1"/>
  <c r="DP24" i="5"/>
  <c r="DQ24" i="5" s="1"/>
  <c r="DH24" i="5"/>
  <c r="DI24" i="5" s="1"/>
  <c r="DD24" i="5"/>
  <c r="DE24" i="5" s="1"/>
  <c r="CZ24" i="5"/>
  <c r="DA24" i="5" s="1"/>
  <c r="CV24" i="5"/>
  <c r="CW24" i="5" s="1"/>
  <c r="CR24" i="5"/>
  <c r="CS24" i="5" s="1"/>
  <c r="CN24" i="5"/>
  <c r="CO24" i="5" s="1"/>
  <c r="CJ24" i="5"/>
  <c r="CK24" i="5" s="1"/>
  <c r="CF24" i="5"/>
  <c r="CG24" i="5" s="1"/>
  <c r="CB24" i="5"/>
  <c r="CC24" i="5" s="1"/>
  <c r="BX24" i="5"/>
  <c r="BY24" i="5" s="1"/>
  <c r="BT24" i="5"/>
  <c r="BU24" i="5" s="1"/>
  <c r="BP24" i="5"/>
  <c r="BQ24" i="5" s="1"/>
  <c r="BL24" i="5"/>
  <c r="BM24" i="5" s="1"/>
  <c r="DK30" i="5"/>
  <c r="DK28" i="5"/>
  <c r="DK23" i="5"/>
  <c r="DK20" i="5"/>
  <c r="DK18" i="5"/>
  <c r="DK11" i="5"/>
  <c r="DK7" i="5"/>
  <c r="EA24" i="5" l="1"/>
  <c r="EB24" i="5" s="1"/>
  <c r="EC24" i="5" s="1"/>
  <c r="H24" i="5"/>
  <c r="I24" i="5" s="1"/>
  <c r="DV57" i="5" l="1"/>
  <c r="DR57" i="5"/>
  <c r="DN57" i="5"/>
  <c r="DJ57" i="5"/>
  <c r="DF57" i="5"/>
  <c r="DB57" i="5"/>
  <c r="CX57" i="5"/>
  <c r="CT57" i="5"/>
  <c r="CP57" i="5"/>
  <c r="CL57" i="5"/>
  <c r="CH57" i="5"/>
  <c r="CD57" i="5"/>
  <c r="BZ57" i="5"/>
  <c r="BV57" i="5"/>
  <c r="BR57" i="5"/>
  <c r="BN57" i="5"/>
  <c r="BJ57" i="5"/>
  <c r="BF57" i="5"/>
  <c r="BB57" i="5"/>
  <c r="AX57" i="5"/>
  <c r="AT57" i="5"/>
  <c r="AP57" i="5"/>
  <c r="AL57" i="5"/>
  <c r="AH57" i="5"/>
  <c r="AD57" i="5"/>
  <c r="Z57" i="5"/>
  <c r="V57" i="5"/>
  <c r="R57" i="5"/>
  <c r="N57" i="5"/>
  <c r="J57" i="5"/>
  <c r="F57" i="5"/>
  <c r="J43" i="5" l="1"/>
  <c r="N43" i="5"/>
  <c r="R43" i="5"/>
  <c r="V43" i="5"/>
  <c r="Z43" i="5"/>
  <c r="AD43" i="5"/>
  <c r="AH43" i="5"/>
  <c r="AL43" i="5"/>
  <c r="AP43" i="5"/>
  <c r="AT43" i="5"/>
  <c r="AX43" i="5"/>
  <c r="BB43" i="5"/>
  <c r="BF43" i="5"/>
  <c r="BJ43" i="5"/>
  <c r="BN43" i="5"/>
  <c r="BR43" i="5"/>
  <c r="BV43" i="5"/>
  <c r="BZ43" i="5"/>
  <c r="CD43" i="5"/>
  <c r="CH43" i="5"/>
  <c r="CL43" i="5"/>
  <c r="CP43" i="5"/>
  <c r="CT43" i="5"/>
  <c r="CX43" i="5"/>
  <c r="DB43" i="5"/>
  <c r="DF43" i="5"/>
  <c r="DJ43" i="5"/>
  <c r="DN43" i="5"/>
  <c r="DR43" i="5"/>
  <c r="DV43" i="5"/>
  <c r="DV56" i="5" l="1"/>
  <c r="DV26" i="5"/>
  <c r="DV19" i="5"/>
  <c r="DV9" i="5"/>
  <c r="DV41" i="5" s="1"/>
  <c r="DR56" i="5"/>
  <c r="DR26" i="5"/>
  <c r="DR19" i="5"/>
  <c r="DR9" i="5"/>
  <c r="DR34" i="5" s="1"/>
  <c r="DN56" i="5"/>
  <c r="DN26" i="5"/>
  <c r="DN19" i="5"/>
  <c r="DN9" i="5"/>
  <c r="DN41" i="5" s="1"/>
  <c r="DJ56" i="5"/>
  <c r="DJ26" i="5"/>
  <c r="DJ19" i="5"/>
  <c r="DJ9" i="5"/>
  <c r="DJ34" i="5" s="1"/>
  <c r="DF56" i="5"/>
  <c r="DF26" i="5"/>
  <c r="DF19" i="5"/>
  <c r="DF9" i="5"/>
  <c r="DF34" i="5" s="1"/>
  <c r="DB56" i="5"/>
  <c r="DB26" i="5"/>
  <c r="DB19" i="5"/>
  <c r="DB9" i="5"/>
  <c r="DB41" i="5" s="1"/>
  <c r="CX56" i="5"/>
  <c r="CX26" i="5"/>
  <c r="CX19" i="5"/>
  <c r="CX9" i="5"/>
  <c r="CX41" i="5" s="1"/>
  <c r="CT56" i="5"/>
  <c r="CT26" i="5"/>
  <c r="CT19" i="5"/>
  <c r="CT9" i="5"/>
  <c r="CT41" i="5" s="1"/>
  <c r="CP56" i="5"/>
  <c r="CP26" i="5"/>
  <c r="CP19" i="5"/>
  <c r="CP9" i="5"/>
  <c r="CP41" i="5" s="1"/>
  <c r="CL56" i="5"/>
  <c r="CL26" i="5"/>
  <c r="CL19" i="5"/>
  <c r="CL9" i="5"/>
  <c r="CL34" i="5" s="1"/>
  <c r="CH56" i="5"/>
  <c r="CH26" i="5"/>
  <c r="CH19" i="5"/>
  <c r="CH9" i="5"/>
  <c r="CH41" i="5" s="1"/>
  <c r="CD56" i="5"/>
  <c r="CD26" i="5"/>
  <c r="CD19" i="5"/>
  <c r="CD9" i="5"/>
  <c r="CD41" i="5" s="1"/>
  <c r="BZ56" i="5"/>
  <c r="BZ26" i="5"/>
  <c r="BZ19" i="5"/>
  <c r="BZ9" i="5"/>
  <c r="BZ41" i="5" s="1"/>
  <c r="BV56" i="5"/>
  <c r="BV26" i="5"/>
  <c r="BV19" i="5"/>
  <c r="BV9" i="5"/>
  <c r="BV41" i="5" s="1"/>
  <c r="BR56" i="5"/>
  <c r="BR26" i="5"/>
  <c r="BR19" i="5"/>
  <c r="BR9" i="5"/>
  <c r="BR41" i="5" s="1"/>
  <c r="BN56" i="5"/>
  <c r="BN26" i="5"/>
  <c r="BN19" i="5"/>
  <c r="BN9" i="5"/>
  <c r="BN41" i="5" s="1"/>
  <c r="BJ56" i="5"/>
  <c r="BJ26" i="5"/>
  <c r="BJ19" i="5"/>
  <c r="BJ9" i="5"/>
  <c r="BJ41" i="5" s="1"/>
  <c r="BF56" i="5"/>
  <c r="BF26" i="5"/>
  <c r="BF19" i="5"/>
  <c r="BF9" i="5"/>
  <c r="BF34" i="5" s="1"/>
  <c r="BB56" i="5"/>
  <c r="BB26" i="5"/>
  <c r="BB19" i="5"/>
  <c r="BB9" i="5"/>
  <c r="BB34" i="5" s="1"/>
  <c r="AX56" i="5"/>
  <c r="AX26" i="5"/>
  <c r="AX19" i="5"/>
  <c r="AX9" i="5"/>
  <c r="AX41" i="5" s="1"/>
  <c r="AT56" i="5"/>
  <c r="AT26" i="5"/>
  <c r="AT19" i="5"/>
  <c r="AT9" i="5"/>
  <c r="AT41" i="5" s="1"/>
  <c r="AP56" i="5"/>
  <c r="AP26" i="5"/>
  <c r="AP19" i="5"/>
  <c r="AP9" i="5"/>
  <c r="AP41" i="5" s="1"/>
  <c r="AL56" i="5"/>
  <c r="AL26" i="5"/>
  <c r="AL19" i="5"/>
  <c r="AL9" i="5"/>
  <c r="AL41" i="5" s="1"/>
  <c r="AH56" i="5"/>
  <c r="AH26" i="5"/>
  <c r="AH19" i="5"/>
  <c r="AH9" i="5"/>
  <c r="AH41" i="5" s="1"/>
  <c r="AD56" i="5"/>
  <c r="AD26" i="5"/>
  <c r="AD19" i="5"/>
  <c r="AD9" i="5"/>
  <c r="AD41" i="5" s="1"/>
  <c r="Z56" i="5"/>
  <c r="Z26" i="5"/>
  <c r="Z19" i="5"/>
  <c r="Z9" i="5"/>
  <c r="Z34" i="5" s="1"/>
  <c r="V56" i="5"/>
  <c r="V26" i="5"/>
  <c r="V19" i="5"/>
  <c r="V9" i="5"/>
  <c r="V41" i="5" s="1"/>
  <c r="R56" i="5"/>
  <c r="R26" i="5"/>
  <c r="R19" i="5"/>
  <c r="R9" i="5"/>
  <c r="R41" i="5" s="1"/>
  <c r="N56" i="5"/>
  <c r="N26" i="5"/>
  <c r="N19" i="5"/>
  <c r="N9" i="5"/>
  <c r="N41" i="5" s="1"/>
  <c r="J56" i="5"/>
  <c r="J26" i="5"/>
  <c r="J19" i="5"/>
  <c r="J9" i="5"/>
  <c r="J41" i="5" s="1"/>
  <c r="DZ55" i="5"/>
  <c r="DZ54" i="5"/>
  <c r="DZ53" i="5"/>
  <c r="DZ52" i="5"/>
  <c r="DZ51" i="5"/>
  <c r="DZ50" i="5"/>
  <c r="DZ49" i="5"/>
  <c r="DZ48" i="5"/>
  <c r="DZ47" i="5"/>
  <c r="DZ46" i="5"/>
  <c r="DZ45" i="5"/>
  <c r="DZ44" i="5"/>
  <c r="DZ42" i="5"/>
  <c r="DZ40" i="5"/>
  <c r="DZ39" i="5"/>
  <c r="DZ38" i="5"/>
  <c r="DZ37" i="5"/>
  <c r="DZ36" i="5"/>
  <c r="DZ33" i="5"/>
  <c r="DZ32" i="5"/>
  <c r="DZ31" i="5"/>
  <c r="DZ30" i="5"/>
  <c r="DZ29" i="5"/>
  <c r="DZ28" i="5"/>
  <c r="DZ25" i="5"/>
  <c r="DZ23" i="5"/>
  <c r="DZ22" i="5"/>
  <c r="DZ21" i="5"/>
  <c r="DZ20" i="5"/>
  <c r="DZ18" i="5"/>
  <c r="DZ17" i="5"/>
  <c r="DZ16" i="5"/>
  <c r="DZ15" i="5"/>
  <c r="DZ14" i="5"/>
  <c r="DZ13" i="5"/>
  <c r="DZ12" i="5"/>
  <c r="DZ11" i="5"/>
  <c r="DZ8" i="5"/>
  <c r="DZ7" i="5"/>
  <c r="DZ6" i="5"/>
  <c r="DZ5" i="5"/>
  <c r="DZ4" i="5"/>
  <c r="DV1" i="5"/>
  <c r="DR1" i="5"/>
  <c r="DN1" i="5"/>
  <c r="DJ1" i="5"/>
  <c r="DF1" i="5"/>
  <c r="DB1" i="5"/>
  <c r="CX1" i="5"/>
  <c r="CT1" i="5"/>
  <c r="CP1" i="5"/>
  <c r="CL1" i="5"/>
  <c r="CH1" i="5"/>
  <c r="CD1" i="5"/>
  <c r="BZ1" i="5"/>
  <c r="BV1" i="5"/>
  <c r="BR1" i="5"/>
  <c r="BN1" i="5"/>
  <c r="BJ1" i="5"/>
  <c r="BF1" i="5"/>
  <c r="BB1" i="5"/>
  <c r="AX1" i="5"/>
  <c r="AT1" i="5"/>
  <c r="AP1" i="5"/>
  <c r="AL1" i="5"/>
  <c r="AH1" i="5"/>
  <c r="AD1" i="5"/>
  <c r="Z1" i="5"/>
  <c r="V1" i="5"/>
  <c r="R1" i="5"/>
  <c r="N1" i="5"/>
  <c r="J1" i="5"/>
  <c r="F1" i="5"/>
  <c r="DJ41" i="5" l="1"/>
  <c r="DR41" i="5"/>
  <c r="CX34" i="5"/>
  <c r="DF41" i="5"/>
  <c r="CD34" i="5"/>
  <c r="BB41" i="5"/>
  <c r="BR34" i="5"/>
  <c r="AX34" i="5"/>
  <c r="BZ34" i="5"/>
  <c r="CL41" i="5"/>
  <c r="DN34" i="5"/>
  <c r="CH34" i="5"/>
  <c r="BF41" i="5"/>
  <c r="DZ43" i="5"/>
  <c r="AL34" i="5"/>
  <c r="AT34" i="5"/>
  <c r="N34" i="5"/>
  <c r="Z41" i="5"/>
  <c r="V34" i="5"/>
  <c r="R34" i="5"/>
  <c r="J34" i="5"/>
  <c r="AP34" i="5"/>
  <c r="BV34" i="5"/>
  <c r="DB34" i="5"/>
  <c r="AH34" i="5"/>
  <c r="BN34" i="5"/>
  <c r="CT34" i="5"/>
  <c r="AD34" i="5"/>
  <c r="BJ34" i="5"/>
  <c r="CP34" i="5"/>
  <c r="DV34" i="5"/>
  <c r="DW42" i="5"/>
  <c r="DW36" i="5"/>
  <c r="DW30" i="5"/>
  <c r="DW33" i="5" s="1"/>
  <c r="DW28" i="5"/>
  <c r="DW32" i="5" s="1"/>
  <c r="DW23" i="5"/>
  <c r="DW20" i="5"/>
  <c r="DW21" i="5" s="1"/>
  <c r="DW18" i="5"/>
  <c r="DW11" i="5"/>
  <c r="DW12" i="5" s="1"/>
  <c r="DW7" i="5"/>
  <c r="DW6" i="5"/>
  <c r="DW3" i="5"/>
  <c r="DW5" i="5" s="1"/>
  <c r="DS42" i="5"/>
  <c r="DS36" i="5"/>
  <c r="DS37" i="5" s="1"/>
  <c r="DS38" i="5" s="1"/>
  <c r="DS39" i="5" s="1"/>
  <c r="DS40" i="5" s="1"/>
  <c r="DS30" i="5"/>
  <c r="DS33" i="5" s="1"/>
  <c r="DS28" i="5"/>
  <c r="DS31" i="5" s="1"/>
  <c r="DS23" i="5"/>
  <c r="DS20" i="5"/>
  <c r="DS21" i="5" s="1"/>
  <c r="DS22" i="5" s="1"/>
  <c r="DS18" i="5"/>
  <c r="DS11" i="5"/>
  <c r="DS12" i="5" s="1"/>
  <c r="DS14" i="5" s="1"/>
  <c r="DS7" i="5"/>
  <c r="DS6" i="5"/>
  <c r="DS3" i="5"/>
  <c r="DS4" i="5" s="1"/>
  <c r="DO42" i="5"/>
  <c r="DO36" i="5"/>
  <c r="DO37" i="5" s="1"/>
  <c r="DO38" i="5" s="1"/>
  <c r="DO39" i="5" s="1"/>
  <c r="DO40" i="5" s="1"/>
  <c r="DO30" i="5"/>
  <c r="DO33" i="5" s="1"/>
  <c r="DO28" i="5"/>
  <c r="DO32" i="5" s="1"/>
  <c r="DO23" i="5"/>
  <c r="DO20" i="5"/>
  <c r="DO21" i="5" s="1"/>
  <c r="DO18" i="5"/>
  <c r="DO11" i="5"/>
  <c r="DO12" i="5" s="1"/>
  <c r="DO7" i="5"/>
  <c r="DO6" i="5"/>
  <c r="DO3" i="5"/>
  <c r="DO5" i="5" s="1"/>
  <c r="DK6" i="5"/>
  <c r="DK3" i="5"/>
  <c r="DK5" i="5" s="1"/>
  <c r="DG42" i="5"/>
  <c r="DG36" i="5"/>
  <c r="DG37" i="5" s="1"/>
  <c r="DG38" i="5" s="1"/>
  <c r="DG39" i="5" s="1"/>
  <c r="DG40" i="5" s="1"/>
  <c r="DG30" i="5"/>
  <c r="DG33" i="5" s="1"/>
  <c r="DG28" i="5"/>
  <c r="DG29" i="5" s="1"/>
  <c r="DG23" i="5"/>
  <c r="DG20" i="5"/>
  <c r="DG21" i="5" s="1"/>
  <c r="DG18" i="5"/>
  <c r="DG11" i="5"/>
  <c r="DG12" i="5" s="1"/>
  <c r="DG7" i="5"/>
  <c r="DG6" i="5"/>
  <c r="DG3" i="5"/>
  <c r="DG5" i="5" s="1"/>
  <c r="DC42" i="5"/>
  <c r="DC36" i="5"/>
  <c r="DC37" i="5" s="1"/>
  <c r="DC38" i="5" s="1"/>
  <c r="DC39" i="5" s="1"/>
  <c r="DC40" i="5" s="1"/>
  <c r="DC30" i="5"/>
  <c r="DC33" i="5" s="1"/>
  <c r="DC28" i="5"/>
  <c r="DC32" i="5" s="1"/>
  <c r="DC23" i="5"/>
  <c r="DC20" i="5"/>
  <c r="DC21" i="5" s="1"/>
  <c r="DC18" i="5"/>
  <c r="DC11" i="5"/>
  <c r="DC12" i="5" s="1"/>
  <c r="DC7" i="5"/>
  <c r="DC6" i="5"/>
  <c r="DC3" i="5"/>
  <c r="DC4" i="5" s="1"/>
  <c r="CY42" i="5"/>
  <c r="CY36" i="5"/>
  <c r="CY37" i="5" s="1"/>
  <c r="CY38" i="5" s="1"/>
  <c r="CY39" i="5" s="1"/>
  <c r="CY40" i="5" s="1"/>
  <c r="CY30" i="5"/>
  <c r="CY33" i="5" s="1"/>
  <c r="CY28" i="5"/>
  <c r="CY31" i="5" s="1"/>
  <c r="CY23" i="5"/>
  <c r="CY20" i="5"/>
  <c r="CY21" i="5" s="1"/>
  <c r="CY18" i="5"/>
  <c r="CY11" i="5"/>
  <c r="CY12" i="5" s="1"/>
  <c r="CY7" i="5"/>
  <c r="CY6" i="5"/>
  <c r="CY3" i="5"/>
  <c r="CY5" i="5" s="1"/>
  <c r="CU42" i="5"/>
  <c r="CU36" i="5"/>
  <c r="CU37" i="5" s="1"/>
  <c r="CU38" i="5" s="1"/>
  <c r="CU39" i="5" s="1"/>
  <c r="CU40" i="5" s="1"/>
  <c r="CU30" i="5"/>
  <c r="CU33" i="5" s="1"/>
  <c r="CU28" i="5"/>
  <c r="CU31" i="5" s="1"/>
  <c r="CU23" i="5"/>
  <c r="CU20" i="5"/>
  <c r="CU21" i="5" s="1"/>
  <c r="CU22" i="5" s="1"/>
  <c r="CU18" i="5"/>
  <c r="CU11" i="5"/>
  <c r="CU12" i="5" s="1"/>
  <c r="CU7" i="5"/>
  <c r="CU6" i="5"/>
  <c r="CU3" i="5"/>
  <c r="CU5" i="5" s="1"/>
  <c r="CQ42" i="5"/>
  <c r="CQ36" i="5"/>
  <c r="CQ37" i="5" s="1"/>
  <c r="CQ38" i="5" s="1"/>
  <c r="CQ39" i="5" s="1"/>
  <c r="CQ40" i="5" s="1"/>
  <c r="CQ30" i="5"/>
  <c r="CQ33" i="5" s="1"/>
  <c r="CQ28" i="5"/>
  <c r="CQ32" i="5" s="1"/>
  <c r="CQ23" i="5"/>
  <c r="CQ20" i="5"/>
  <c r="CQ21" i="5" s="1"/>
  <c r="CQ18" i="5"/>
  <c r="CQ11" i="5"/>
  <c r="CQ12" i="5" s="1"/>
  <c r="CQ7" i="5"/>
  <c r="CQ6" i="5"/>
  <c r="CQ3" i="5"/>
  <c r="CQ4" i="5" s="1"/>
  <c r="CM42" i="5"/>
  <c r="CM36" i="5"/>
  <c r="CM37" i="5" s="1"/>
  <c r="CM38" i="5" s="1"/>
  <c r="CM39" i="5" s="1"/>
  <c r="CM40" i="5" s="1"/>
  <c r="CM30" i="5"/>
  <c r="CM33" i="5" s="1"/>
  <c r="CM28" i="5"/>
  <c r="CM32" i="5" s="1"/>
  <c r="CM23" i="5"/>
  <c r="CM20" i="5"/>
  <c r="CM21" i="5" s="1"/>
  <c r="CM18" i="5"/>
  <c r="CM11" i="5"/>
  <c r="CM12" i="5" s="1"/>
  <c r="CM7" i="5"/>
  <c r="CM6" i="5"/>
  <c r="CM3" i="5"/>
  <c r="CM5" i="5" s="1"/>
  <c r="CI42" i="5"/>
  <c r="CI36" i="5"/>
  <c r="CI37" i="5" s="1"/>
  <c r="CI38" i="5" s="1"/>
  <c r="CI39" i="5" s="1"/>
  <c r="CI40" i="5" s="1"/>
  <c r="CI30" i="5"/>
  <c r="CI33" i="5" s="1"/>
  <c r="CI28" i="5"/>
  <c r="CI32" i="5" s="1"/>
  <c r="CI23" i="5"/>
  <c r="CI20" i="5"/>
  <c r="CI21" i="5" s="1"/>
  <c r="CI18" i="5"/>
  <c r="CI11" i="5"/>
  <c r="CI12" i="5" s="1"/>
  <c r="CI7" i="5"/>
  <c r="CI6" i="5"/>
  <c r="CI3" i="5"/>
  <c r="CI4" i="5" s="1"/>
  <c r="CE42" i="5"/>
  <c r="CE36" i="5"/>
  <c r="CE37" i="5" s="1"/>
  <c r="CE38" i="5" s="1"/>
  <c r="CE39" i="5" s="1"/>
  <c r="CE40" i="5" s="1"/>
  <c r="CE30" i="5"/>
  <c r="CE33" i="5" s="1"/>
  <c r="CE28" i="5"/>
  <c r="CE32" i="5" s="1"/>
  <c r="CE23" i="5"/>
  <c r="CE20" i="5"/>
  <c r="CE21" i="5" s="1"/>
  <c r="CE18" i="5"/>
  <c r="CE11" i="5"/>
  <c r="CE12" i="5" s="1"/>
  <c r="CE7" i="5"/>
  <c r="CE6" i="5"/>
  <c r="CE3" i="5"/>
  <c r="CE5" i="5" s="1"/>
  <c r="CA42" i="5"/>
  <c r="CA36" i="5"/>
  <c r="CA37" i="5" s="1"/>
  <c r="CA38" i="5" s="1"/>
  <c r="CA39" i="5" s="1"/>
  <c r="CA40" i="5" s="1"/>
  <c r="CA30" i="5"/>
  <c r="CA33" i="5" s="1"/>
  <c r="CA28" i="5"/>
  <c r="CA31" i="5" s="1"/>
  <c r="CA23" i="5"/>
  <c r="CA20" i="5"/>
  <c r="CA21" i="5" s="1"/>
  <c r="CA18" i="5"/>
  <c r="CA11" i="5"/>
  <c r="CA12" i="5" s="1"/>
  <c r="CA7" i="5"/>
  <c r="CA6" i="5"/>
  <c r="CA3" i="5"/>
  <c r="CA5" i="5" s="1"/>
  <c r="BW42" i="5"/>
  <c r="BW36" i="5"/>
  <c r="BW37" i="5" s="1"/>
  <c r="BW38" i="5" s="1"/>
  <c r="BW39" i="5" s="1"/>
  <c r="BW40" i="5" s="1"/>
  <c r="BW30" i="5"/>
  <c r="BW33" i="5" s="1"/>
  <c r="BW28" i="5"/>
  <c r="BW32" i="5" s="1"/>
  <c r="BW23" i="5"/>
  <c r="BW20" i="5"/>
  <c r="BW21" i="5" s="1"/>
  <c r="BW18" i="5"/>
  <c r="BW11" i="5"/>
  <c r="BW12" i="5" s="1"/>
  <c r="BW7" i="5"/>
  <c r="BW6" i="5"/>
  <c r="BW3" i="5"/>
  <c r="BW5" i="5" s="1"/>
  <c r="BS42" i="5"/>
  <c r="BS36" i="5"/>
  <c r="BS37" i="5" s="1"/>
  <c r="BS38" i="5" s="1"/>
  <c r="BS39" i="5" s="1"/>
  <c r="BS40" i="5" s="1"/>
  <c r="BS30" i="5"/>
  <c r="BS33" i="5" s="1"/>
  <c r="BS28" i="5"/>
  <c r="BS32" i="5" s="1"/>
  <c r="BS23" i="5"/>
  <c r="BS20" i="5"/>
  <c r="BS21" i="5" s="1"/>
  <c r="BS18" i="5"/>
  <c r="BS11" i="5"/>
  <c r="BS12" i="5" s="1"/>
  <c r="BS7" i="5"/>
  <c r="BS6" i="5"/>
  <c r="BS3" i="5"/>
  <c r="BS5" i="5" s="1"/>
  <c r="BO42" i="5"/>
  <c r="BO36" i="5"/>
  <c r="BO37" i="5" s="1"/>
  <c r="BO38" i="5" s="1"/>
  <c r="BO39" i="5" s="1"/>
  <c r="BO40" i="5" s="1"/>
  <c r="BO30" i="5"/>
  <c r="BO33" i="5" s="1"/>
  <c r="BO28" i="5"/>
  <c r="BO32" i="5" s="1"/>
  <c r="BO23" i="5"/>
  <c r="BO20" i="5"/>
  <c r="BO21" i="5" s="1"/>
  <c r="BO18" i="5"/>
  <c r="BO11" i="5"/>
  <c r="BO12" i="5" s="1"/>
  <c r="BO7" i="5"/>
  <c r="BO6" i="5"/>
  <c r="BO3" i="5"/>
  <c r="BO4" i="5" s="1"/>
  <c r="BK42" i="5"/>
  <c r="BK36" i="5"/>
  <c r="BK37" i="5" s="1"/>
  <c r="BK38" i="5" s="1"/>
  <c r="BK39" i="5" s="1"/>
  <c r="BK40" i="5" s="1"/>
  <c r="BK30" i="5"/>
  <c r="BK33" i="5" s="1"/>
  <c r="BK28" i="5"/>
  <c r="BK32" i="5" s="1"/>
  <c r="BK23" i="5"/>
  <c r="BK20" i="5"/>
  <c r="BK21" i="5" s="1"/>
  <c r="BK18" i="5"/>
  <c r="BK11" i="5"/>
  <c r="BK12" i="5" s="1"/>
  <c r="BK7" i="5"/>
  <c r="BK6" i="5"/>
  <c r="BK3" i="5"/>
  <c r="BK5" i="5" s="1"/>
  <c r="BG42" i="5"/>
  <c r="BG36" i="5"/>
  <c r="BG37" i="5" s="1"/>
  <c r="BG38" i="5" s="1"/>
  <c r="BG39" i="5" s="1"/>
  <c r="BG40" i="5" s="1"/>
  <c r="BG30" i="5"/>
  <c r="BG33" i="5" s="1"/>
  <c r="BG28" i="5"/>
  <c r="BG32" i="5" s="1"/>
  <c r="BG23" i="5"/>
  <c r="BG20" i="5"/>
  <c r="BG21" i="5" s="1"/>
  <c r="BG22" i="5" s="1"/>
  <c r="BG18" i="5"/>
  <c r="BG11" i="5"/>
  <c r="BG12" i="5" s="1"/>
  <c r="BG7" i="5"/>
  <c r="BG6" i="5"/>
  <c r="BG3" i="5"/>
  <c r="BG5" i="5" s="1"/>
  <c r="BC42" i="5"/>
  <c r="BC36" i="5"/>
  <c r="BC37" i="5" s="1"/>
  <c r="BC38" i="5" s="1"/>
  <c r="BC39" i="5" s="1"/>
  <c r="BC40" i="5" s="1"/>
  <c r="BC30" i="5"/>
  <c r="BC33" i="5" s="1"/>
  <c r="BC28" i="5"/>
  <c r="BC31" i="5" s="1"/>
  <c r="BC23" i="5"/>
  <c r="BC20" i="5"/>
  <c r="BC21" i="5" s="1"/>
  <c r="BC18" i="5"/>
  <c r="BC11" i="5"/>
  <c r="BC12" i="5" s="1"/>
  <c r="BC7" i="5"/>
  <c r="BC6" i="5"/>
  <c r="BC3" i="5"/>
  <c r="BC5" i="5" s="1"/>
  <c r="AY42" i="5"/>
  <c r="AY36" i="5"/>
  <c r="AY37" i="5" s="1"/>
  <c r="AY38" i="5" s="1"/>
  <c r="AY39" i="5" s="1"/>
  <c r="AY40" i="5" s="1"/>
  <c r="AY30" i="5"/>
  <c r="AY33" i="5" s="1"/>
  <c r="AY28" i="5"/>
  <c r="AY29" i="5" s="1"/>
  <c r="AY23" i="5"/>
  <c r="AY20" i="5"/>
  <c r="AY21" i="5" s="1"/>
  <c r="AY18" i="5"/>
  <c r="AY11" i="5"/>
  <c r="AY12" i="5" s="1"/>
  <c r="AY7" i="5"/>
  <c r="AY6" i="5"/>
  <c r="AY3" i="5"/>
  <c r="AY5" i="5" s="1"/>
  <c r="AU42" i="5"/>
  <c r="AU36" i="5"/>
  <c r="AU37" i="5" s="1"/>
  <c r="AU38" i="5" s="1"/>
  <c r="AU39" i="5" s="1"/>
  <c r="AU40" i="5" s="1"/>
  <c r="AU30" i="5"/>
  <c r="AU33" i="5" s="1"/>
  <c r="AU28" i="5"/>
  <c r="AU32" i="5" s="1"/>
  <c r="AU23" i="5"/>
  <c r="AU20" i="5"/>
  <c r="AU21" i="5" s="1"/>
  <c r="AU18" i="5"/>
  <c r="AU11" i="5"/>
  <c r="AU12" i="5" s="1"/>
  <c r="AU7" i="5"/>
  <c r="AU6" i="5"/>
  <c r="AU3" i="5"/>
  <c r="AU5" i="5" s="1"/>
  <c r="AQ42" i="5"/>
  <c r="AQ36" i="5"/>
  <c r="AQ37" i="5" s="1"/>
  <c r="AQ38" i="5" s="1"/>
  <c r="AQ39" i="5" s="1"/>
  <c r="AQ40" i="5" s="1"/>
  <c r="AQ30" i="5"/>
  <c r="AQ33" i="5" s="1"/>
  <c r="AQ28" i="5"/>
  <c r="AQ31" i="5" s="1"/>
  <c r="AQ23" i="5"/>
  <c r="AQ20" i="5"/>
  <c r="AQ21" i="5" s="1"/>
  <c r="AQ18" i="5"/>
  <c r="AQ11" i="5"/>
  <c r="AQ12" i="5" s="1"/>
  <c r="AQ7" i="5"/>
  <c r="AQ6" i="5"/>
  <c r="AQ3" i="5"/>
  <c r="AQ5" i="5" s="1"/>
  <c r="AM11" i="5"/>
  <c r="AM42" i="5"/>
  <c r="AM36" i="5"/>
  <c r="AM30" i="5"/>
  <c r="AM20" i="5"/>
  <c r="AM28" i="5"/>
  <c r="AM23" i="5"/>
  <c r="AM18" i="5"/>
  <c r="AM7" i="5"/>
  <c r="DW37" i="5"/>
  <c r="DW38" i="5" s="1"/>
  <c r="DW39" i="5" s="1"/>
  <c r="DW40" i="5" s="1"/>
  <c r="DK37" i="5"/>
  <c r="DK38" i="5" s="1"/>
  <c r="DK39" i="5" s="1"/>
  <c r="DK40" i="5" s="1"/>
  <c r="DK33" i="5"/>
  <c r="DK31" i="5"/>
  <c r="DK21" i="5"/>
  <c r="DK12" i="5"/>
  <c r="CY14" i="5" l="1"/>
  <c r="CY15" i="5" s="1"/>
  <c r="CY16" i="5" s="1"/>
  <c r="CY17" i="5" s="1"/>
  <c r="CE14" i="5"/>
  <c r="CE15" i="5" s="1"/>
  <c r="CE16" i="5" s="1"/>
  <c r="CE17" i="5" s="1"/>
  <c r="AQ14" i="5"/>
  <c r="AQ15" i="5" s="1"/>
  <c r="AQ16" i="5" s="1"/>
  <c r="AQ17" i="5" s="1"/>
  <c r="BK14" i="5"/>
  <c r="BK15" i="5" s="1"/>
  <c r="BK16" i="5" s="1"/>
  <c r="BK17" i="5" s="1"/>
  <c r="CQ14" i="5"/>
  <c r="CQ15" i="5" s="1"/>
  <c r="BS14" i="5"/>
  <c r="BS15" i="5" s="1"/>
  <c r="BS16" i="5" s="1"/>
  <c r="BS17" i="5" s="1"/>
  <c r="DW14" i="5"/>
  <c r="DX14" i="5" s="1"/>
  <c r="DY14" i="5" s="1"/>
  <c r="BW14" i="5"/>
  <c r="BW15" i="5" s="1"/>
  <c r="BW16" i="5" s="1"/>
  <c r="BW17" i="5" s="1"/>
  <c r="BC14" i="5"/>
  <c r="BC15" i="5" s="1"/>
  <c r="BC16" i="5" s="1"/>
  <c r="BC17" i="5" s="1"/>
  <c r="DK14" i="5"/>
  <c r="DK15" i="5" s="1"/>
  <c r="DK16" i="5" s="1"/>
  <c r="DK17" i="5" s="1"/>
  <c r="DC14" i="5"/>
  <c r="DC15" i="5" s="1"/>
  <c r="DC16" i="5" s="1"/>
  <c r="DC17" i="5" s="1"/>
  <c r="AU14" i="5"/>
  <c r="AU15" i="5" s="1"/>
  <c r="AU16" i="5" s="1"/>
  <c r="AU17" i="5" s="1"/>
  <c r="CI14" i="5"/>
  <c r="CI15" i="5" s="1"/>
  <c r="BO14" i="5"/>
  <c r="BO15" i="5" s="1"/>
  <c r="CU14" i="5"/>
  <c r="CU15" i="5" s="1"/>
  <c r="CU16" i="5" s="1"/>
  <c r="CU17" i="5" s="1"/>
  <c r="DO14" i="5"/>
  <c r="CA14" i="5"/>
  <c r="CA15" i="5" s="1"/>
  <c r="CA16" i="5" s="1"/>
  <c r="CA17" i="5" s="1"/>
  <c r="DG14" i="5"/>
  <c r="DG15" i="5" s="1"/>
  <c r="DG16" i="5" s="1"/>
  <c r="DG17" i="5" s="1"/>
  <c r="AY14" i="5"/>
  <c r="AY15" i="5" s="1"/>
  <c r="AY16" i="5" s="1"/>
  <c r="AY17" i="5" s="1"/>
  <c r="BG14" i="5"/>
  <c r="BG15" i="5" s="1"/>
  <c r="BG16" i="5" s="1"/>
  <c r="BG17" i="5" s="1"/>
  <c r="CM14" i="5"/>
  <c r="CM15" i="5" s="1"/>
  <c r="CM16" i="5" s="1"/>
  <c r="CM17" i="5" s="1"/>
  <c r="CQ5" i="5"/>
  <c r="CR5" i="5" s="1"/>
  <c r="CS5" i="5" s="1"/>
  <c r="DO4" i="5"/>
  <c r="DW29" i="5"/>
  <c r="DX29" i="5" s="1"/>
  <c r="DY29" i="5" s="1"/>
  <c r="DK43" i="5"/>
  <c r="DK55" i="5"/>
  <c r="DK47" i="5"/>
  <c r="DK46" i="5"/>
  <c r="DK53" i="5"/>
  <c r="DK45" i="5"/>
  <c r="DK52" i="5"/>
  <c r="DK44" i="5"/>
  <c r="DK51" i="5"/>
  <c r="DK50" i="5"/>
  <c r="DK49" i="5"/>
  <c r="DK48" i="5"/>
  <c r="DK54" i="5"/>
  <c r="DO43" i="5"/>
  <c r="DO55" i="5"/>
  <c r="DO47" i="5"/>
  <c r="DO52" i="5"/>
  <c r="DO54" i="5"/>
  <c r="DO46" i="5"/>
  <c r="DO44" i="5"/>
  <c r="DO53" i="5"/>
  <c r="DO45" i="5"/>
  <c r="DO51" i="5"/>
  <c r="DO50" i="5"/>
  <c r="DO49" i="5"/>
  <c r="DO48" i="5"/>
  <c r="DW43" i="5"/>
  <c r="DW55" i="5"/>
  <c r="DW47" i="5"/>
  <c r="DW52" i="5"/>
  <c r="DW54" i="5"/>
  <c r="DW46" i="5"/>
  <c r="DW44" i="5"/>
  <c r="DW53" i="5"/>
  <c r="DW45" i="5"/>
  <c r="DW51" i="5"/>
  <c r="DW50" i="5"/>
  <c r="DW49" i="5"/>
  <c r="DW48" i="5"/>
  <c r="CQ43" i="5"/>
  <c r="CQ55" i="5"/>
  <c r="CQ47" i="5"/>
  <c r="CQ44" i="5"/>
  <c r="CQ54" i="5"/>
  <c r="CQ46" i="5"/>
  <c r="CQ52" i="5"/>
  <c r="CQ51" i="5"/>
  <c r="CQ53" i="5"/>
  <c r="CQ45" i="5"/>
  <c r="CQ50" i="5"/>
  <c r="CQ49" i="5"/>
  <c r="CQ48" i="5"/>
  <c r="CY43" i="5"/>
  <c r="CY55" i="5"/>
  <c r="CY47" i="5"/>
  <c r="CY52" i="5"/>
  <c r="CY54" i="5"/>
  <c r="CY46" i="5"/>
  <c r="CY44" i="5"/>
  <c r="CY51" i="5"/>
  <c r="CY53" i="5"/>
  <c r="CY45" i="5"/>
  <c r="CY50" i="5"/>
  <c r="CY49" i="5"/>
  <c r="CY48" i="5"/>
  <c r="DG43" i="5"/>
  <c r="DG55" i="5"/>
  <c r="DG47" i="5"/>
  <c r="DG44" i="5"/>
  <c r="DG51" i="5"/>
  <c r="DG54" i="5"/>
  <c r="DG46" i="5"/>
  <c r="DG52" i="5"/>
  <c r="DG53" i="5"/>
  <c r="DG45" i="5"/>
  <c r="DG50" i="5"/>
  <c r="DG49" i="5"/>
  <c r="DG48" i="5"/>
  <c r="DS43" i="5"/>
  <c r="DS51" i="5"/>
  <c r="DS55" i="5"/>
  <c r="DS50" i="5"/>
  <c r="DS48" i="5"/>
  <c r="DS47" i="5"/>
  <c r="DS49" i="5"/>
  <c r="DS44" i="5"/>
  <c r="DS54" i="5"/>
  <c r="DS53" i="5"/>
  <c r="DS52" i="5"/>
  <c r="DS46" i="5"/>
  <c r="DS45" i="5"/>
  <c r="AU43" i="5"/>
  <c r="AU55" i="5"/>
  <c r="AU47" i="5"/>
  <c r="AU53" i="5"/>
  <c r="AU52" i="5"/>
  <c r="AU54" i="5"/>
  <c r="AU46" i="5"/>
  <c r="AU45" i="5"/>
  <c r="AU44" i="5"/>
  <c r="AU51" i="5"/>
  <c r="AU50" i="5"/>
  <c r="AU49" i="5"/>
  <c r="AU48" i="5"/>
  <c r="CA43" i="5"/>
  <c r="CA55" i="5"/>
  <c r="CA47" i="5"/>
  <c r="CA44" i="5"/>
  <c r="CA54" i="5"/>
  <c r="CA46" i="5"/>
  <c r="CA52" i="5"/>
  <c r="CA51" i="5"/>
  <c r="CA53" i="5"/>
  <c r="CA45" i="5"/>
  <c r="CA50" i="5"/>
  <c r="CA49" i="5"/>
  <c r="CA48" i="5"/>
  <c r="CI43" i="5"/>
  <c r="CI55" i="5"/>
  <c r="CI47" i="5"/>
  <c r="CI52" i="5"/>
  <c r="CI54" i="5"/>
  <c r="CI46" i="5"/>
  <c r="CI44" i="5"/>
  <c r="CI51" i="5"/>
  <c r="CI53" i="5"/>
  <c r="CI45" i="5"/>
  <c r="CI50" i="5"/>
  <c r="CI49" i="5"/>
  <c r="CI48" i="5"/>
  <c r="AQ43" i="5"/>
  <c r="AQ51" i="5"/>
  <c r="AQ49" i="5"/>
  <c r="AQ48" i="5"/>
  <c r="AQ50" i="5"/>
  <c r="AQ47" i="5"/>
  <c r="AQ46" i="5"/>
  <c r="AQ45" i="5"/>
  <c r="AQ44" i="5"/>
  <c r="AQ55" i="5"/>
  <c r="AQ54" i="5"/>
  <c r="AQ53" i="5"/>
  <c r="AQ52" i="5"/>
  <c r="AY43" i="5"/>
  <c r="AY51" i="5"/>
  <c r="AY50" i="5"/>
  <c r="AY49" i="5"/>
  <c r="AY48" i="5"/>
  <c r="AY55" i="5"/>
  <c r="AY54" i="5"/>
  <c r="AY53" i="5"/>
  <c r="AY52" i="5"/>
  <c r="AY47" i="5"/>
  <c r="AY46" i="5"/>
  <c r="AY45" i="5"/>
  <c r="AY44" i="5"/>
  <c r="BG43" i="5"/>
  <c r="BG51" i="5"/>
  <c r="BG49" i="5"/>
  <c r="BG48" i="5"/>
  <c r="BG50" i="5"/>
  <c r="BG47" i="5"/>
  <c r="BG46" i="5"/>
  <c r="BG45" i="5"/>
  <c r="BG44" i="5"/>
  <c r="BG55" i="5"/>
  <c r="BG54" i="5"/>
  <c r="BG53" i="5"/>
  <c r="BG52" i="5"/>
  <c r="BO43" i="5"/>
  <c r="BO51" i="5"/>
  <c r="BO50" i="5"/>
  <c r="BO48" i="5"/>
  <c r="BO49" i="5"/>
  <c r="BO55" i="5"/>
  <c r="BO54" i="5"/>
  <c r="BO53" i="5"/>
  <c r="BO52" i="5"/>
  <c r="BO47" i="5"/>
  <c r="BO46" i="5"/>
  <c r="BO45" i="5"/>
  <c r="BO44" i="5"/>
  <c r="BW43" i="5"/>
  <c r="BW51" i="5"/>
  <c r="BW55" i="5"/>
  <c r="BW50" i="5"/>
  <c r="BW48" i="5"/>
  <c r="BW47" i="5"/>
  <c r="BW49" i="5"/>
  <c r="BW53" i="5"/>
  <c r="BW52" i="5"/>
  <c r="BW46" i="5"/>
  <c r="BW45" i="5"/>
  <c r="BW44" i="5"/>
  <c r="BW54" i="5"/>
  <c r="CE43" i="5"/>
  <c r="CE51" i="5"/>
  <c r="CE48" i="5"/>
  <c r="CE55" i="5"/>
  <c r="CE47" i="5"/>
  <c r="CE50" i="5"/>
  <c r="CE49" i="5"/>
  <c r="CE52" i="5"/>
  <c r="CE46" i="5"/>
  <c r="CE45" i="5"/>
  <c r="CE44" i="5"/>
  <c r="CE54" i="5"/>
  <c r="CE53" i="5"/>
  <c r="CM43" i="5"/>
  <c r="CM51" i="5"/>
  <c r="CM47" i="5"/>
  <c r="CM50" i="5"/>
  <c r="CM48" i="5"/>
  <c r="CM55" i="5"/>
  <c r="CM49" i="5"/>
  <c r="CM46" i="5"/>
  <c r="CM45" i="5"/>
  <c r="CM44" i="5"/>
  <c r="CM54" i="5"/>
  <c r="CM53" i="5"/>
  <c r="CM52" i="5"/>
  <c r="CU43" i="5"/>
  <c r="CU51" i="5"/>
  <c r="CU48" i="5"/>
  <c r="CU55" i="5"/>
  <c r="CU47" i="5"/>
  <c r="CU50" i="5"/>
  <c r="CU49" i="5"/>
  <c r="CU45" i="5"/>
  <c r="CU44" i="5"/>
  <c r="CU54" i="5"/>
  <c r="CU53" i="5"/>
  <c r="CU52" i="5"/>
  <c r="CU46" i="5"/>
  <c r="DC43" i="5"/>
  <c r="DC51" i="5"/>
  <c r="DC47" i="5"/>
  <c r="DC50" i="5"/>
  <c r="DC48" i="5"/>
  <c r="DC55" i="5"/>
  <c r="DC49" i="5"/>
  <c r="DC44" i="5"/>
  <c r="DC54" i="5"/>
  <c r="DC53" i="5"/>
  <c r="DC52" i="5"/>
  <c r="DC46" i="5"/>
  <c r="DC45" i="5"/>
  <c r="AM43" i="5"/>
  <c r="AM55" i="5"/>
  <c r="AM47" i="5"/>
  <c r="AM45" i="5"/>
  <c r="AM44" i="5"/>
  <c r="AM54" i="5"/>
  <c r="AM46" i="5"/>
  <c r="AM53" i="5"/>
  <c r="AM52" i="5"/>
  <c r="AM51" i="5"/>
  <c r="AM50" i="5"/>
  <c r="AM49" i="5"/>
  <c r="AM48" i="5"/>
  <c r="BC43" i="5"/>
  <c r="BC55" i="5"/>
  <c r="BC47" i="5"/>
  <c r="BC45" i="5"/>
  <c r="BC52" i="5"/>
  <c r="BC44" i="5"/>
  <c r="BC54" i="5"/>
  <c r="BC46" i="5"/>
  <c r="BC53" i="5"/>
  <c r="BC51" i="5"/>
  <c r="BC50" i="5"/>
  <c r="BC49" i="5"/>
  <c r="BC48" i="5"/>
  <c r="BK43" i="5"/>
  <c r="BK55" i="5"/>
  <c r="BK47" i="5"/>
  <c r="BK45" i="5"/>
  <c r="BK52" i="5"/>
  <c r="BK54" i="5"/>
  <c r="BK46" i="5"/>
  <c r="BK44" i="5"/>
  <c r="BK53" i="5"/>
  <c r="BK51" i="5"/>
  <c r="BK50" i="5"/>
  <c r="BK49" i="5"/>
  <c r="BK48" i="5"/>
  <c r="BS43" i="5"/>
  <c r="BS55" i="5"/>
  <c r="BS47" i="5"/>
  <c r="BS52" i="5"/>
  <c r="BS54" i="5"/>
  <c r="BS46" i="5"/>
  <c r="BS44" i="5"/>
  <c r="BS51" i="5"/>
  <c r="BS53" i="5"/>
  <c r="BS45" i="5"/>
  <c r="BS50" i="5"/>
  <c r="BS49" i="5"/>
  <c r="BS48" i="5"/>
  <c r="DG31" i="5"/>
  <c r="DG32" i="5"/>
  <c r="CE4" i="5"/>
  <c r="CE31" i="5"/>
  <c r="CU4" i="5"/>
  <c r="CU32" i="5"/>
  <c r="CM4" i="5"/>
  <c r="DC31" i="5"/>
  <c r="DC5" i="5"/>
  <c r="DD5" i="5" s="1"/>
  <c r="DE5" i="5" s="1"/>
  <c r="CM31" i="5"/>
  <c r="DO8" i="5"/>
  <c r="DP8" i="5" s="1"/>
  <c r="DQ8" i="5" s="1"/>
  <c r="DK4" i="5"/>
  <c r="AY31" i="5"/>
  <c r="BC32" i="5"/>
  <c r="BO5" i="5"/>
  <c r="BP5" i="5" s="1"/>
  <c r="BQ5" i="5" s="1"/>
  <c r="CI31" i="5"/>
  <c r="AQ32" i="5"/>
  <c r="DW8" i="5"/>
  <c r="DW9" i="5" s="1"/>
  <c r="CY4" i="5"/>
  <c r="CI5" i="5"/>
  <c r="CJ5" i="5" s="1"/>
  <c r="CK5" i="5" s="1"/>
  <c r="CQ31" i="5"/>
  <c r="CA32" i="5"/>
  <c r="BW4" i="5"/>
  <c r="BG4" i="5"/>
  <c r="BO31" i="5"/>
  <c r="BG31" i="5"/>
  <c r="BW29" i="5"/>
  <c r="AY32" i="5"/>
  <c r="AY4" i="5"/>
  <c r="BW31" i="5"/>
  <c r="DC8" i="5"/>
  <c r="DC9" i="5" s="1"/>
  <c r="BG8" i="5"/>
  <c r="BG9" i="5" s="1"/>
  <c r="DS32" i="5"/>
  <c r="DS26" i="5"/>
  <c r="CY8" i="5"/>
  <c r="CZ8" i="5" s="1"/>
  <c r="DA8" i="5" s="1"/>
  <c r="DO31" i="5"/>
  <c r="DW4" i="5"/>
  <c r="AQ8" i="5"/>
  <c r="AR8" i="5" s="1"/>
  <c r="AS8" i="5" s="1"/>
  <c r="BS4" i="5"/>
  <c r="BK8" i="5"/>
  <c r="BL8" i="5" s="1"/>
  <c r="BM8" i="5" s="1"/>
  <c r="BS8" i="5"/>
  <c r="BT8" i="5" s="1"/>
  <c r="BU8" i="5" s="1"/>
  <c r="CA8" i="5"/>
  <c r="CA9" i="5" s="1"/>
  <c r="CI8" i="5"/>
  <c r="CJ8" i="5" s="1"/>
  <c r="CK8" i="5" s="1"/>
  <c r="CQ8" i="5"/>
  <c r="CQ9" i="5" s="1"/>
  <c r="CQ41" i="5" s="1"/>
  <c r="DG4" i="5"/>
  <c r="AQ4" i="5"/>
  <c r="BK31" i="5"/>
  <c r="DS5" i="5"/>
  <c r="DT5" i="5" s="1"/>
  <c r="DU5" i="5" s="1"/>
  <c r="BC4" i="5"/>
  <c r="BS31" i="5"/>
  <c r="CA4" i="5"/>
  <c r="DW31" i="5"/>
  <c r="DX31" i="5" s="1"/>
  <c r="DY31" i="5" s="1"/>
  <c r="AU8" i="5"/>
  <c r="AU9" i="5" s="1"/>
  <c r="BK4" i="5"/>
  <c r="AY8" i="5"/>
  <c r="AY9" i="5" s="1"/>
  <c r="AU31" i="5"/>
  <c r="DK8" i="5"/>
  <c r="DK9" i="5" s="1"/>
  <c r="AU4" i="5"/>
  <c r="DS29" i="5"/>
  <c r="CU26" i="5"/>
  <c r="BW22" i="5"/>
  <c r="BW26" i="5" s="1"/>
  <c r="CI22" i="5"/>
  <c r="CI26" i="5" s="1"/>
  <c r="CI29" i="5"/>
  <c r="CE22" i="5"/>
  <c r="CE26" i="5" s="1"/>
  <c r="CE8" i="5"/>
  <c r="CE9" i="5" s="1"/>
  <c r="CE29" i="5"/>
  <c r="CA22" i="5"/>
  <c r="CA26" i="5" s="1"/>
  <c r="CA29" i="5"/>
  <c r="BW8" i="5"/>
  <c r="BW9" i="5" s="1"/>
  <c r="BS22" i="5"/>
  <c r="BS26" i="5" s="1"/>
  <c r="BS29" i="5"/>
  <c r="BO22" i="5"/>
  <c r="BO26" i="5" s="1"/>
  <c r="BO8" i="5"/>
  <c r="BP8" i="5" s="1"/>
  <c r="BQ8" i="5" s="1"/>
  <c r="BO29" i="5"/>
  <c r="BK22" i="5"/>
  <c r="BK26" i="5" s="1"/>
  <c r="BK29" i="5"/>
  <c r="BG26" i="5"/>
  <c r="BG29" i="5"/>
  <c r="BC22" i="5"/>
  <c r="BC26" i="5" s="1"/>
  <c r="BC8" i="5"/>
  <c r="BC9" i="5" s="1"/>
  <c r="BC29" i="5"/>
  <c r="AY22" i="5"/>
  <c r="AY26" i="5" s="1"/>
  <c r="AQ22" i="5"/>
  <c r="AQ26" i="5" s="1"/>
  <c r="AQ29" i="5"/>
  <c r="DW22" i="5"/>
  <c r="DW26" i="5" s="1"/>
  <c r="DS15" i="5"/>
  <c r="DS16" i="5" s="1"/>
  <c r="DS17" i="5" s="1"/>
  <c r="DS8" i="5"/>
  <c r="DS9" i="5" s="1"/>
  <c r="DO22" i="5"/>
  <c r="DO26" i="5" s="1"/>
  <c r="DO29" i="5"/>
  <c r="DK22" i="5"/>
  <c r="DK26" i="5" s="1"/>
  <c r="DK32" i="5"/>
  <c r="DK29" i="5"/>
  <c r="DG22" i="5"/>
  <c r="DG26" i="5" s="1"/>
  <c r="DG8" i="5"/>
  <c r="DH8" i="5" s="1"/>
  <c r="DI8" i="5" s="1"/>
  <c r="DC22" i="5"/>
  <c r="DC26" i="5" s="1"/>
  <c r="DC29" i="5"/>
  <c r="CY22" i="5"/>
  <c r="CY26" i="5" s="1"/>
  <c r="CY32" i="5"/>
  <c r="CY29" i="5"/>
  <c r="CU8" i="5"/>
  <c r="CU9" i="5" s="1"/>
  <c r="CU29" i="5"/>
  <c r="CQ22" i="5"/>
  <c r="CQ26" i="5" s="1"/>
  <c r="CQ29" i="5"/>
  <c r="CM22" i="5"/>
  <c r="CM26" i="5" s="1"/>
  <c r="CM8" i="5"/>
  <c r="CN8" i="5" s="1"/>
  <c r="CO8" i="5" s="1"/>
  <c r="CM29" i="5"/>
  <c r="AU22" i="5"/>
  <c r="AU26" i="5" s="1"/>
  <c r="AU29" i="5"/>
  <c r="AM6" i="5"/>
  <c r="AM8" i="5" s="1"/>
  <c r="AN8" i="5" s="1"/>
  <c r="AO8" i="5" s="1"/>
  <c r="AM3" i="5"/>
  <c r="AM5" i="5" s="1"/>
  <c r="AN5" i="5" s="1"/>
  <c r="AO5" i="5" s="1"/>
  <c r="AM37" i="5"/>
  <c r="AM38" i="5" s="1"/>
  <c r="AM39" i="5" s="1"/>
  <c r="AM40" i="5" s="1"/>
  <c r="AM33" i="5"/>
  <c r="AM32" i="5"/>
  <c r="AM31" i="5"/>
  <c r="AM29" i="5"/>
  <c r="AM21" i="5"/>
  <c r="AM22" i="5" s="1"/>
  <c r="AM26" i="5" s="1"/>
  <c r="AM12" i="5"/>
  <c r="AI42" i="5"/>
  <c r="AI36" i="5"/>
  <c r="AI37" i="5" s="1"/>
  <c r="AI38" i="5" s="1"/>
  <c r="AI39" i="5" s="1"/>
  <c r="AI40" i="5" s="1"/>
  <c r="AI30" i="5"/>
  <c r="AI33" i="5" s="1"/>
  <c r="AI28" i="5"/>
  <c r="AI31" i="5" s="1"/>
  <c r="AI23" i="5"/>
  <c r="AI20" i="5"/>
  <c r="AI21" i="5" s="1"/>
  <c r="AI22" i="5" s="1"/>
  <c r="AI18" i="5"/>
  <c r="AI11" i="5"/>
  <c r="AI12" i="5" s="1"/>
  <c r="AI7" i="5"/>
  <c r="AI6" i="5"/>
  <c r="AI3" i="5"/>
  <c r="AI5" i="5" s="1"/>
  <c r="AJ5" i="5" s="1"/>
  <c r="AK5" i="5" s="1"/>
  <c r="AE42" i="5"/>
  <c r="AE36" i="5"/>
  <c r="AE30" i="5"/>
  <c r="AE28" i="5"/>
  <c r="AE29" i="5" s="1"/>
  <c r="AF29" i="5" s="1"/>
  <c r="AG29" i="5" s="1"/>
  <c r="AF25" i="5"/>
  <c r="AG25" i="5" s="1"/>
  <c r="AE23" i="5"/>
  <c r="AF23" i="5" s="1"/>
  <c r="AG23" i="5" s="1"/>
  <c r="AE20" i="5"/>
  <c r="AE18" i="5"/>
  <c r="AF18" i="5" s="1"/>
  <c r="AG18" i="5" s="1"/>
  <c r="AE11" i="5"/>
  <c r="AE7" i="5"/>
  <c r="AF7" i="5" s="1"/>
  <c r="AG7" i="5" s="1"/>
  <c r="AE6" i="5"/>
  <c r="AF6" i="5" s="1"/>
  <c r="AG6" i="5" s="1"/>
  <c r="AE3" i="5"/>
  <c r="AA42" i="5"/>
  <c r="AA36" i="5"/>
  <c r="AA37" i="5" s="1"/>
  <c r="AA38" i="5" s="1"/>
  <c r="AA39" i="5" s="1"/>
  <c r="AA40" i="5" s="1"/>
  <c r="AA30" i="5"/>
  <c r="AA33" i="5" s="1"/>
  <c r="AA28" i="5"/>
  <c r="AA31" i="5" s="1"/>
  <c r="AA25" i="5"/>
  <c r="AA23" i="5"/>
  <c r="AA20" i="5"/>
  <c r="AB20" i="5" s="1"/>
  <c r="AC20" i="5" s="1"/>
  <c r="AA18" i="5"/>
  <c r="AA11" i="5"/>
  <c r="AA12" i="5" s="1"/>
  <c r="AA7" i="5"/>
  <c r="AA6" i="5"/>
  <c r="AA3" i="5"/>
  <c r="AA4" i="5" s="1"/>
  <c r="W42" i="5"/>
  <c r="W36" i="5"/>
  <c r="W37" i="5" s="1"/>
  <c r="W38" i="5" s="1"/>
  <c r="W39" i="5" s="1"/>
  <c r="W40" i="5" s="1"/>
  <c r="W30" i="5"/>
  <c r="W33" i="5" s="1"/>
  <c r="W28" i="5"/>
  <c r="W32" i="5" s="1"/>
  <c r="W23" i="5"/>
  <c r="W20" i="5"/>
  <c r="W21" i="5" s="1"/>
  <c r="W18" i="5"/>
  <c r="W11" i="5"/>
  <c r="W12" i="5" s="1"/>
  <c r="W7" i="5"/>
  <c r="W6" i="5"/>
  <c r="W3" i="5"/>
  <c r="W5" i="5" s="1"/>
  <c r="X5" i="5" s="1"/>
  <c r="Y5" i="5" s="1"/>
  <c r="S42" i="5"/>
  <c r="S36" i="5"/>
  <c r="S37" i="5" s="1"/>
  <c r="S38" i="5" s="1"/>
  <c r="S39" i="5" s="1"/>
  <c r="S40" i="5" s="1"/>
  <c r="S30" i="5"/>
  <c r="S33" i="5" s="1"/>
  <c r="S28" i="5"/>
  <c r="S29" i="5" s="1"/>
  <c r="S23" i="5"/>
  <c r="S20" i="5"/>
  <c r="T20" i="5" s="1"/>
  <c r="U20" i="5" s="1"/>
  <c r="S18" i="5"/>
  <c r="S11" i="5"/>
  <c r="S12" i="5" s="1"/>
  <c r="S7" i="5"/>
  <c r="S6" i="5"/>
  <c r="S3" i="5"/>
  <c r="O42" i="5"/>
  <c r="O36" i="5"/>
  <c r="O37" i="5" s="1"/>
  <c r="O38" i="5" s="1"/>
  <c r="O39" i="5" s="1"/>
  <c r="O40" i="5" s="1"/>
  <c r="O30" i="5"/>
  <c r="O33" i="5" s="1"/>
  <c r="O28" i="5"/>
  <c r="O31" i="5" s="1"/>
  <c r="O23" i="5"/>
  <c r="O20" i="5"/>
  <c r="O21" i="5" s="1"/>
  <c r="O22" i="5" s="1"/>
  <c r="O18" i="5"/>
  <c r="O11" i="5"/>
  <c r="O12" i="5" s="1"/>
  <c r="O7" i="5"/>
  <c r="O6" i="5"/>
  <c r="O3" i="5"/>
  <c r="O4" i="5" s="1"/>
  <c r="K42" i="5"/>
  <c r="K36" i="5"/>
  <c r="K37" i="5" s="1"/>
  <c r="K38" i="5" s="1"/>
  <c r="K39" i="5" s="1"/>
  <c r="K30" i="5"/>
  <c r="K33" i="5" s="1"/>
  <c r="K28" i="5"/>
  <c r="K32" i="5" s="1"/>
  <c r="K23" i="5"/>
  <c r="K20" i="5"/>
  <c r="K21" i="5" s="1"/>
  <c r="K22" i="5" s="1"/>
  <c r="K18" i="5"/>
  <c r="K11" i="5"/>
  <c r="K7" i="5"/>
  <c r="K6" i="5"/>
  <c r="K3" i="5"/>
  <c r="K5" i="5" s="1"/>
  <c r="L5" i="5" s="1"/>
  <c r="G42" i="5"/>
  <c r="DX5" i="5"/>
  <c r="DY5" i="5" s="1"/>
  <c r="DP5" i="5"/>
  <c r="DQ5" i="5" s="1"/>
  <c r="DL5" i="5"/>
  <c r="DM5" i="5" s="1"/>
  <c r="DH5" i="5"/>
  <c r="DI5" i="5" s="1"/>
  <c r="CZ5" i="5"/>
  <c r="DA5" i="5" s="1"/>
  <c r="CV5" i="5"/>
  <c r="CW5" i="5" s="1"/>
  <c r="CN5" i="5"/>
  <c r="CO5" i="5" s="1"/>
  <c r="CF5" i="5"/>
  <c r="CG5" i="5" s="1"/>
  <c r="CB5" i="5"/>
  <c r="CC5" i="5" s="1"/>
  <c r="BX5" i="5"/>
  <c r="BY5" i="5" s="1"/>
  <c r="BT5" i="5"/>
  <c r="BU5" i="5" s="1"/>
  <c r="BL5" i="5"/>
  <c r="BM5" i="5" s="1"/>
  <c r="BH5" i="5"/>
  <c r="BI5" i="5" s="1"/>
  <c r="BD5" i="5"/>
  <c r="BE5" i="5" s="1"/>
  <c r="AZ5" i="5"/>
  <c r="BA5" i="5" s="1"/>
  <c r="AV5" i="5"/>
  <c r="AW5" i="5" s="1"/>
  <c r="AR5" i="5"/>
  <c r="AS5" i="5" s="1"/>
  <c r="G36" i="5"/>
  <c r="F9" i="5"/>
  <c r="F34" i="5" s="1"/>
  <c r="G30" i="5"/>
  <c r="G28" i="5"/>
  <c r="G23" i="5"/>
  <c r="G20" i="5"/>
  <c r="G18" i="5"/>
  <c r="G7" i="5"/>
  <c r="G6" i="5"/>
  <c r="G3" i="5"/>
  <c r="DP20" i="5"/>
  <c r="DQ20" i="5" s="1"/>
  <c r="DL20" i="5"/>
  <c r="DM20" i="5" s="1"/>
  <c r="DH20" i="5"/>
  <c r="DI20" i="5" s="1"/>
  <c r="DD20" i="5"/>
  <c r="DE20" i="5" s="1"/>
  <c r="CZ20" i="5"/>
  <c r="DA20" i="5" s="1"/>
  <c r="CV20" i="5"/>
  <c r="CW20" i="5" s="1"/>
  <c r="CR20" i="5"/>
  <c r="CS20" i="5" s="1"/>
  <c r="CN20" i="5"/>
  <c r="CO20" i="5" s="1"/>
  <c r="CJ20" i="5"/>
  <c r="CK20" i="5" s="1"/>
  <c r="CF20" i="5"/>
  <c r="CG20" i="5" s="1"/>
  <c r="CB20" i="5"/>
  <c r="CC20" i="5" s="1"/>
  <c r="BX20" i="5"/>
  <c r="BY20" i="5" s="1"/>
  <c r="BT20" i="5"/>
  <c r="BU20" i="5" s="1"/>
  <c r="BP20" i="5"/>
  <c r="BQ20" i="5" s="1"/>
  <c r="BL20" i="5"/>
  <c r="BM20" i="5" s="1"/>
  <c r="BH20" i="5"/>
  <c r="BI20" i="5" s="1"/>
  <c r="BD20" i="5"/>
  <c r="BE20" i="5" s="1"/>
  <c r="AZ20" i="5"/>
  <c r="BA20" i="5" s="1"/>
  <c r="AV20" i="5"/>
  <c r="AW20" i="5" s="1"/>
  <c r="AR20" i="5"/>
  <c r="AS20" i="5" s="1"/>
  <c r="AN20" i="5"/>
  <c r="AO20" i="5" s="1"/>
  <c r="DX20" i="5"/>
  <c r="DY20" i="5" s="1"/>
  <c r="DZ3" i="5"/>
  <c r="DX42" i="5"/>
  <c r="DX40" i="5"/>
  <c r="DY40" i="5" s="1"/>
  <c r="DX39" i="5"/>
  <c r="DY39" i="5" s="1"/>
  <c r="DX38" i="5"/>
  <c r="DY38" i="5" s="1"/>
  <c r="DX37" i="5"/>
  <c r="DY37" i="5" s="1"/>
  <c r="DX36" i="5"/>
  <c r="DY36" i="5" s="1"/>
  <c r="DX33" i="5"/>
  <c r="DX32" i="5"/>
  <c r="DY32" i="5" s="1"/>
  <c r="DX30" i="5"/>
  <c r="DY30" i="5" s="1"/>
  <c r="DX28" i="5"/>
  <c r="DY28" i="5" s="1"/>
  <c r="DX25" i="5"/>
  <c r="DY25" i="5" s="1"/>
  <c r="DX23" i="5"/>
  <c r="DY23" i="5" s="1"/>
  <c r="DX21" i="5"/>
  <c r="DY21" i="5" s="1"/>
  <c r="DX18" i="5"/>
  <c r="DY18" i="5" s="1"/>
  <c r="DX13" i="5"/>
  <c r="DY13" i="5" s="1"/>
  <c r="DX12" i="5"/>
  <c r="DY12" i="5" s="1"/>
  <c r="DX11" i="5"/>
  <c r="DY11" i="5" s="1"/>
  <c r="DX7" i="5"/>
  <c r="DY7" i="5" s="1"/>
  <c r="DX6" i="5"/>
  <c r="DY6" i="5" s="1"/>
  <c r="DX3" i="5"/>
  <c r="DW15" i="5" l="1"/>
  <c r="DW16" i="5" s="1"/>
  <c r="DW17" i="5" s="1"/>
  <c r="DX17" i="5" s="1"/>
  <c r="DY17" i="5" s="1"/>
  <c r="AY19" i="5"/>
  <c r="DW19" i="5"/>
  <c r="BK9" i="5"/>
  <c r="BK34" i="5" s="1"/>
  <c r="CU19" i="5"/>
  <c r="CQ16" i="5"/>
  <c r="CQ17" i="5" s="1"/>
  <c r="CI16" i="5"/>
  <c r="CI17" i="5" s="1"/>
  <c r="BO16" i="5"/>
  <c r="BO17" i="5" s="1"/>
  <c r="BS19" i="5"/>
  <c r="BW19" i="5"/>
  <c r="CM19" i="5"/>
  <c r="DO15" i="5"/>
  <c r="DO16" i="5" s="1"/>
  <c r="DO17" i="5" s="1"/>
  <c r="W14" i="5"/>
  <c r="W15" i="5" s="1"/>
  <c r="W16" i="5" s="1"/>
  <c r="W17" i="5" s="1"/>
  <c r="BK19" i="5"/>
  <c r="AQ19" i="5"/>
  <c r="DG19" i="5"/>
  <c r="O14" i="5"/>
  <c r="O15" i="5" s="1"/>
  <c r="DC19" i="5"/>
  <c r="DK19" i="5"/>
  <c r="AA14" i="5"/>
  <c r="AI14" i="5"/>
  <c r="AI15" i="5" s="1"/>
  <c r="AI16" i="5" s="1"/>
  <c r="AI17" i="5" s="1"/>
  <c r="AM14" i="5"/>
  <c r="AM15" i="5" s="1"/>
  <c r="AM16" i="5" s="1"/>
  <c r="AM17" i="5" s="1"/>
  <c r="AU19" i="5"/>
  <c r="CA19" i="5"/>
  <c r="CY19" i="5"/>
  <c r="CE19" i="5"/>
  <c r="BG19" i="5"/>
  <c r="S14" i="5"/>
  <c r="S15" i="5" s="1"/>
  <c r="S16" i="5" s="1"/>
  <c r="S17" i="5" s="1"/>
  <c r="BC19" i="5"/>
  <c r="DD8" i="5"/>
  <c r="DE8" i="5" s="1"/>
  <c r="S43" i="5"/>
  <c r="S49" i="5"/>
  <c r="S51" i="5"/>
  <c r="S50" i="5"/>
  <c r="S52" i="5"/>
  <c r="S45" i="5"/>
  <c r="S46" i="5"/>
  <c r="S47" i="5"/>
  <c r="S48" i="5"/>
  <c r="S53" i="5"/>
  <c r="S54" i="5"/>
  <c r="S55" i="5"/>
  <c r="S44" i="5"/>
  <c r="AA43" i="5"/>
  <c r="AA51" i="5"/>
  <c r="AA50" i="5"/>
  <c r="AA48" i="5"/>
  <c r="AA49" i="5"/>
  <c r="AA47" i="5"/>
  <c r="AA46" i="5"/>
  <c r="AA45" i="5"/>
  <c r="AA44" i="5"/>
  <c r="AA55" i="5"/>
  <c r="AA54" i="5"/>
  <c r="AA53" i="5"/>
  <c r="AA52" i="5"/>
  <c r="AI43" i="5"/>
  <c r="AI51" i="5"/>
  <c r="AI50" i="5"/>
  <c r="AI49" i="5"/>
  <c r="AI48" i="5"/>
  <c r="AI55" i="5"/>
  <c r="AI54" i="5"/>
  <c r="AI53" i="5"/>
  <c r="AI52" i="5"/>
  <c r="AI47" i="5"/>
  <c r="AI46" i="5"/>
  <c r="AI45" i="5"/>
  <c r="AI44" i="5"/>
  <c r="K43" i="5"/>
  <c r="K49" i="5"/>
  <c r="K50" i="5"/>
  <c r="K51" i="5"/>
  <c r="K52" i="5"/>
  <c r="K53" i="5"/>
  <c r="K54" i="5"/>
  <c r="K55" i="5"/>
  <c r="K44" i="5"/>
  <c r="K45" i="5"/>
  <c r="K46" i="5"/>
  <c r="K47" i="5"/>
  <c r="K48" i="5"/>
  <c r="O43" i="5"/>
  <c r="O45" i="5"/>
  <c r="O53" i="5"/>
  <c r="O55" i="5"/>
  <c r="O48" i="5"/>
  <c r="O46" i="5"/>
  <c r="O54" i="5"/>
  <c r="O47" i="5"/>
  <c r="O44" i="5"/>
  <c r="O49" i="5"/>
  <c r="O50" i="5"/>
  <c r="O51" i="5"/>
  <c r="O52" i="5"/>
  <c r="W43" i="5"/>
  <c r="W55" i="5"/>
  <c r="W47" i="5"/>
  <c r="W53" i="5"/>
  <c r="W52" i="5"/>
  <c r="W44" i="5"/>
  <c r="W54" i="5"/>
  <c r="W46" i="5"/>
  <c r="W45" i="5"/>
  <c r="W51" i="5"/>
  <c r="W50" i="5"/>
  <c r="W49" i="5"/>
  <c r="W48" i="5"/>
  <c r="AE55" i="5"/>
  <c r="AF55" i="5" s="1"/>
  <c r="AG55" i="5" s="1"/>
  <c r="AE47" i="5"/>
  <c r="AF47" i="5" s="1"/>
  <c r="AG47" i="5" s="1"/>
  <c r="AE53" i="5"/>
  <c r="AF53" i="5" s="1"/>
  <c r="AG53" i="5" s="1"/>
  <c r="AE44" i="5"/>
  <c r="AF44" i="5" s="1"/>
  <c r="AG44" i="5" s="1"/>
  <c r="AE54" i="5"/>
  <c r="AF54" i="5" s="1"/>
  <c r="AG54" i="5" s="1"/>
  <c r="AE46" i="5"/>
  <c r="AF46" i="5" s="1"/>
  <c r="AG46" i="5" s="1"/>
  <c r="AE45" i="5"/>
  <c r="AF45" i="5" s="1"/>
  <c r="AG45" i="5" s="1"/>
  <c r="AE52" i="5"/>
  <c r="AF52" i="5" s="1"/>
  <c r="AG52" i="5" s="1"/>
  <c r="AE51" i="5"/>
  <c r="AF51" i="5" s="1"/>
  <c r="AG51" i="5" s="1"/>
  <c r="AE50" i="5"/>
  <c r="AF50" i="5" s="1"/>
  <c r="AG50" i="5" s="1"/>
  <c r="AE49" i="5"/>
  <c r="AF49" i="5" s="1"/>
  <c r="AG49" i="5" s="1"/>
  <c r="AE48" i="5"/>
  <c r="AF48" i="5" s="1"/>
  <c r="AG48" i="5" s="1"/>
  <c r="BH8" i="5"/>
  <c r="BI8" i="5" s="1"/>
  <c r="DK41" i="5"/>
  <c r="AV8" i="5"/>
  <c r="AW8" i="5" s="1"/>
  <c r="DO9" i="5"/>
  <c r="DO34" i="5" s="1"/>
  <c r="CY9" i="5"/>
  <c r="CY41" i="5" s="1"/>
  <c r="CI9" i="5"/>
  <c r="CI41" i="5" s="1"/>
  <c r="DX4" i="5"/>
  <c r="DX8" i="5"/>
  <c r="DY8" i="5" s="1"/>
  <c r="DY9" i="5" s="1"/>
  <c r="BG41" i="5"/>
  <c r="DW41" i="5"/>
  <c r="AZ8" i="5"/>
  <c r="BA8" i="5" s="1"/>
  <c r="S31" i="5"/>
  <c r="BG34" i="5"/>
  <c r="AY34" i="5"/>
  <c r="CR8" i="5"/>
  <c r="CS8" i="5" s="1"/>
  <c r="AQ9" i="5"/>
  <c r="AQ41" i="5" s="1"/>
  <c r="DW34" i="5"/>
  <c r="BS9" i="5"/>
  <c r="BS41" i="5" s="1"/>
  <c r="EA18" i="5"/>
  <c r="EB18" i="5" s="1"/>
  <c r="EC18" i="5" s="1"/>
  <c r="AE12" i="5"/>
  <c r="AE14" i="5" s="1"/>
  <c r="AF11" i="5"/>
  <c r="AG11" i="5" s="1"/>
  <c r="AE33" i="5"/>
  <c r="AF33" i="5" s="1"/>
  <c r="AG33" i="5" s="1"/>
  <c r="AF30" i="5"/>
  <c r="AG30" i="5" s="1"/>
  <c r="AE37" i="5"/>
  <c r="AF36" i="5"/>
  <c r="AG36" i="5" s="1"/>
  <c r="AE43" i="5"/>
  <c r="AF42" i="5"/>
  <c r="DL8" i="5"/>
  <c r="DM8" i="5" s="1"/>
  <c r="DK34" i="5"/>
  <c r="AE21" i="5"/>
  <c r="AF20" i="5"/>
  <c r="AG20" i="5" s="1"/>
  <c r="DY42" i="5"/>
  <c r="DY43" i="5" s="1"/>
  <c r="DX43" i="5"/>
  <c r="CB8" i="5"/>
  <c r="CC8" i="5" s="1"/>
  <c r="CF8" i="5"/>
  <c r="CG8" i="5" s="1"/>
  <c r="AE5" i="5"/>
  <c r="AF5" i="5" s="1"/>
  <c r="AG5" i="5" s="1"/>
  <c r="AF3" i="5"/>
  <c r="AG3" i="5" s="1"/>
  <c r="AE32" i="5"/>
  <c r="AF32" i="5" s="1"/>
  <c r="AG32" i="5" s="1"/>
  <c r="AF28" i="5"/>
  <c r="AG28" i="5" s="1"/>
  <c r="DZ57" i="5"/>
  <c r="EA6" i="5"/>
  <c r="EB6" i="5" s="1"/>
  <c r="EA11" i="5"/>
  <c r="EB11" i="5" s="1"/>
  <c r="EC11" i="5" s="1"/>
  <c r="EA36" i="5"/>
  <c r="EB36" i="5" s="1"/>
  <c r="EC36" i="5" s="1"/>
  <c r="EA42" i="5"/>
  <c r="AA8" i="5"/>
  <c r="AB8" i="5" s="1"/>
  <c r="AC8" i="5" s="1"/>
  <c r="G21" i="5"/>
  <c r="EA20" i="5"/>
  <c r="EB20" i="5" s="1"/>
  <c r="EC20" i="5" s="1"/>
  <c r="EA23" i="5"/>
  <c r="EB23" i="5" s="1"/>
  <c r="EC23" i="5" s="1"/>
  <c r="AE4" i="5"/>
  <c r="AF4" i="5" s="1"/>
  <c r="AG4" i="5" s="1"/>
  <c r="EA25" i="5"/>
  <c r="EB25" i="5" s="1"/>
  <c r="EC25" i="5" s="1"/>
  <c r="G4" i="5"/>
  <c r="EA3" i="5"/>
  <c r="EB3" i="5" s="1"/>
  <c r="EC3" i="5" s="1"/>
  <c r="G32" i="5"/>
  <c r="EA28" i="5"/>
  <c r="EB28" i="5" s="1"/>
  <c r="EC28" i="5" s="1"/>
  <c r="G33" i="5"/>
  <c r="EA33" i="5" s="1"/>
  <c r="EB33" i="5" s="1"/>
  <c r="EC33" i="5" s="1"/>
  <c r="EA30" i="5"/>
  <c r="EB30" i="5" s="1"/>
  <c r="EC30" i="5" s="1"/>
  <c r="EA7" i="5"/>
  <c r="EB7" i="5" s="1"/>
  <c r="EC7" i="5" s="1"/>
  <c r="O32" i="5"/>
  <c r="M5" i="5"/>
  <c r="BD8" i="5"/>
  <c r="BE8" i="5" s="1"/>
  <c r="G52" i="5"/>
  <c r="AJ20" i="5"/>
  <c r="AK20" i="5" s="1"/>
  <c r="G51" i="5"/>
  <c r="CA34" i="5"/>
  <c r="DX51" i="5"/>
  <c r="DY51" i="5" s="1"/>
  <c r="DX50" i="5"/>
  <c r="DY50" i="5" s="1"/>
  <c r="DX45" i="5"/>
  <c r="DY45" i="5" s="1"/>
  <c r="DX49" i="5"/>
  <c r="DY49" i="5" s="1"/>
  <c r="DX48" i="5"/>
  <c r="DY48" i="5" s="1"/>
  <c r="DX46" i="5"/>
  <c r="DY46" i="5" s="1"/>
  <c r="DX55" i="5"/>
  <c r="DY55" i="5" s="1"/>
  <c r="DX47" i="5"/>
  <c r="DY47" i="5" s="1"/>
  <c r="DX53" i="5"/>
  <c r="DY53" i="5" s="1"/>
  <c r="DX54" i="5"/>
  <c r="DY54" i="5" s="1"/>
  <c r="DX52" i="5"/>
  <c r="DY52" i="5" s="1"/>
  <c r="BX8" i="5"/>
  <c r="BY8" i="5" s="1"/>
  <c r="AI32" i="5"/>
  <c r="DS19" i="5"/>
  <c r="DT8" i="5"/>
  <c r="DU8" i="5" s="1"/>
  <c r="DC34" i="5"/>
  <c r="CV8" i="5"/>
  <c r="CW8" i="5" s="1"/>
  <c r="CE34" i="5"/>
  <c r="CE41" i="5"/>
  <c r="CA41" i="5"/>
  <c r="BW41" i="5"/>
  <c r="BW34" i="5"/>
  <c r="BO9" i="5"/>
  <c r="BC34" i="5"/>
  <c r="BC41" i="5"/>
  <c r="AY41" i="5"/>
  <c r="AU34" i="5"/>
  <c r="DX22" i="5"/>
  <c r="DY22" i="5" s="1"/>
  <c r="DY26" i="5" s="1"/>
  <c r="DS41" i="5"/>
  <c r="DS34" i="5"/>
  <c r="DG9" i="5"/>
  <c r="DC41" i="5"/>
  <c r="CU41" i="5"/>
  <c r="CU34" i="5"/>
  <c r="CQ34" i="5"/>
  <c r="CM9" i="5"/>
  <c r="AU41" i="5"/>
  <c r="AM4" i="5"/>
  <c r="AM9" i="5"/>
  <c r="AI8" i="5"/>
  <c r="AJ8" i="5" s="1"/>
  <c r="AK8" i="5" s="1"/>
  <c r="AI4" i="5"/>
  <c r="AI26" i="5"/>
  <c r="AI29" i="5"/>
  <c r="AE31" i="5"/>
  <c r="AF31" i="5" s="1"/>
  <c r="AG31" i="5" s="1"/>
  <c r="G50" i="5"/>
  <c r="G49" i="5"/>
  <c r="AE8" i="5"/>
  <c r="G44" i="5"/>
  <c r="G48" i="5"/>
  <c r="K31" i="5"/>
  <c r="G55" i="5"/>
  <c r="G47" i="5"/>
  <c r="G54" i="5"/>
  <c r="G46" i="5"/>
  <c r="G53" i="5"/>
  <c r="G45" i="5"/>
  <c r="AA29" i="5"/>
  <c r="AA21" i="5"/>
  <c r="AA22" i="5" s="1"/>
  <c r="AA5" i="5"/>
  <c r="AB5" i="5" s="1"/>
  <c r="AC5" i="5" s="1"/>
  <c r="AA32" i="5"/>
  <c r="W31" i="5"/>
  <c r="W29" i="5"/>
  <c r="X20" i="5"/>
  <c r="Y20" i="5" s="1"/>
  <c r="W8" i="5"/>
  <c r="X8" i="5" s="1"/>
  <c r="Y8" i="5" s="1"/>
  <c r="W4" i="5"/>
  <c r="S32" i="5"/>
  <c r="W22" i="5"/>
  <c r="W26" i="5" s="1"/>
  <c r="S4" i="5"/>
  <c r="S21" i="5"/>
  <c r="S22" i="5" s="1"/>
  <c r="S5" i="5"/>
  <c r="T5" i="5" s="1"/>
  <c r="U5" i="5" s="1"/>
  <c r="S8" i="5"/>
  <c r="T8" i="5" s="1"/>
  <c r="U8" i="5" s="1"/>
  <c r="P20" i="5"/>
  <c r="Q20" i="5" s="1"/>
  <c r="O8" i="5"/>
  <c r="P8" i="5" s="1"/>
  <c r="Q8" i="5" s="1"/>
  <c r="O5" i="5"/>
  <c r="P5" i="5" s="1"/>
  <c r="Q5" i="5" s="1"/>
  <c r="O26" i="5"/>
  <c r="O29" i="5"/>
  <c r="K12" i="5"/>
  <c r="K40" i="5"/>
  <c r="K26" i="5"/>
  <c r="K29" i="5"/>
  <c r="L20" i="5"/>
  <c r="M20" i="5" s="1"/>
  <c r="K8" i="5"/>
  <c r="L8" i="5" s="1"/>
  <c r="K4" i="5"/>
  <c r="G5" i="5"/>
  <c r="H20" i="5"/>
  <c r="DZ9" i="5"/>
  <c r="DZ34" i="5" s="1"/>
  <c r="G37" i="5"/>
  <c r="EA37" i="5" s="1"/>
  <c r="EB37" i="5" s="1"/>
  <c r="EC37" i="5" s="1"/>
  <c r="G8" i="5"/>
  <c r="G12" i="5"/>
  <c r="G14" i="5" s="1"/>
  <c r="G29" i="5"/>
  <c r="G31" i="5"/>
  <c r="DY3" i="5"/>
  <c r="DY33" i="5"/>
  <c r="CQ19" i="5" l="1"/>
  <c r="BO19" i="5"/>
  <c r="DX15" i="5"/>
  <c r="DY15" i="5" s="1"/>
  <c r="BK41" i="5"/>
  <c r="DX16" i="5"/>
  <c r="DY16" i="5" s="1"/>
  <c r="DO19" i="5"/>
  <c r="CI19" i="5"/>
  <c r="AM19" i="5"/>
  <c r="O16" i="5"/>
  <c r="O17" i="5" s="1"/>
  <c r="O19" i="5"/>
  <c r="AA15" i="5"/>
  <c r="AA16" i="5" s="1"/>
  <c r="AA17" i="5" s="1"/>
  <c r="W19" i="5"/>
  <c r="K14" i="5"/>
  <c r="K15" i="5" s="1"/>
  <c r="K16" i="5" s="1"/>
  <c r="K17" i="5" s="1"/>
  <c r="AI19" i="5"/>
  <c r="S19" i="5"/>
  <c r="DO41" i="5"/>
  <c r="CY34" i="5"/>
  <c r="CI34" i="5"/>
  <c r="DY4" i="5"/>
  <c r="DX9" i="5"/>
  <c r="DX34" i="5" s="1"/>
  <c r="AA9" i="5"/>
  <c r="AA41" i="5" s="1"/>
  <c r="AQ34" i="5"/>
  <c r="EA31" i="5"/>
  <c r="EB31" i="5" s="1"/>
  <c r="EC31" i="5" s="1"/>
  <c r="BS34" i="5"/>
  <c r="AM41" i="5"/>
  <c r="AG42" i="5"/>
  <c r="AG43" i="5" s="1"/>
  <c r="AF43" i="5"/>
  <c r="EA47" i="5"/>
  <c r="EB47" i="5" s="1"/>
  <c r="EC47" i="5" s="1"/>
  <c r="AE9" i="5"/>
  <c r="AF8" i="5"/>
  <c r="AG8" i="5" s="1"/>
  <c r="EA51" i="5"/>
  <c r="EB51" i="5" s="1"/>
  <c r="EC51" i="5" s="1"/>
  <c r="EA21" i="5"/>
  <c r="EB21" i="5" s="1"/>
  <c r="EC21" i="5" s="1"/>
  <c r="AE38" i="5"/>
  <c r="AF37" i="5"/>
  <c r="AG37" i="5" s="1"/>
  <c r="EA29" i="5"/>
  <c r="EB29" i="5" s="1"/>
  <c r="EC29" i="5" s="1"/>
  <c r="AE22" i="5"/>
  <c r="AF21" i="5"/>
  <c r="AG21" i="5" s="1"/>
  <c r="EA12" i="5"/>
  <c r="EB12" i="5" s="1"/>
  <c r="EC12" i="5" s="1"/>
  <c r="AF12" i="5"/>
  <c r="AG12" i="5" s="1"/>
  <c r="EC6" i="5"/>
  <c r="EA43" i="5"/>
  <c r="EB42" i="5"/>
  <c r="EA55" i="5"/>
  <c r="EB55" i="5" s="1"/>
  <c r="EC55" i="5" s="1"/>
  <c r="EA49" i="5"/>
  <c r="EB49" i="5" s="1"/>
  <c r="EC49" i="5" s="1"/>
  <c r="EA52" i="5"/>
  <c r="EB52" i="5" s="1"/>
  <c r="EC52" i="5" s="1"/>
  <c r="EA32" i="5"/>
  <c r="EB32" i="5" s="1"/>
  <c r="EC32" i="5" s="1"/>
  <c r="H5" i="5"/>
  <c r="I5" i="5" s="1"/>
  <c r="EA5" i="5"/>
  <c r="EB5" i="5" s="1"/>
  <c r="EC5" i="5" s="1"/>
  <c r="EA53" i="5"/>
  <c r="EB53" i="5" s="1"/>
  <c r="EC53" i="5" s="1"/>
  <c r="EA50" i="5"/>
  <c r="EB50" i="5" s="1"/>
  <c r="EC50" i="5" s="1"/>
  <c r="EA4" i="5"/>
  <c r="EB4" i="5" s="1"/>
  <c r="EC4" i="5" s="1"/>
  <c r="EA45" i="5"/>
  <c r="EB45" i="5" s="1"/>
  <c r="EC45" i="5" s="1"/>
  <c r="G22" i="5"/>
  <c r="EA22" i="5" s="1"/>
  <c r="EB22" i="5" s="1"/>
  <c r="EC22" i="5" s="1"/>
  <c r="K9" i="5"/>
  <c r="K41" i="5" s="1"/>
  <c r="EA48" i="5"/>
  <c r="EB48" i="5" s="1"/>
  <c r="EC48" i="5" s="1"/>
  <c r="CQ56" i="5"/>
  <c r="EA46" i="5"/>
  <c r="EB46" i="5" s="1"/>
  <c r="EC46" i="5" s="1"/>
  <c r="EA44" i="5"/>
  <c r="EB44" i="5" s="1"/>
  <c r="EC44" i="5" s="1"/>
  <c r="G9" i="5"/>
  <c r="G34" i="5" s="1"/>
  <c r="EA8" i="5"/>
  <c r="EB8" i="5" s="1"/>
  <c r="EC8" i="5" s="1"/>
  <c r="EA54" i="5"/>
  <c r="EB54" i="5" s="1"/>
  <c r="EC54" i="5" s="1"/>
  <c r="M8" i="5"/>
  <c r="I20" i="5"/>
  <c r="S56" i="5"/>
  <c r="DX26" i="5"/>
  <c r="DC56" i="5"/>
  <c r="AY56" i="5"/>
  <c r="AM56" i="5"/>
  <c r="W56" i="5"/>
  <c r="BS56" i="5"/>
  <c r="CU56" i="5"/>
  <c r="DO56" i="5"/>
  <c r="DK56" i="5"/>
  <c r="BW56" i="5"/>
  <c r="DG56" i="5"/>
  <c r="CA56" i="5"/>
  <c r="CY56" i="5"/>
  <c r="AU56" i="5"/>
  <c r="AQ56" i="5"/>
  <c r="DW56" i="5"/>
  <c r="DX44" i="5"/>
  <c r="K56" i="5"/>
  <c r="BC56" i="5"/>
  <c r="BK56" i="5"/>
  <c r="BG56" i="5"/>
  <c r="CE56" i="5"/>
  <c r="DS56" i="5"/>
  <c r="AA56" i="5"/>
  <c r="CM56" i="5"/>
  <c r="AI56" i="5"/>
  <c r="CI56" i="5"/>
  <c r="BO56" i="5"/>
  <c r="BO41" i="5"/>
  <c r="BO34" i="5"/>
  <c r="AM34" i="5"/>
  <c r="DG34" i="5"/>
  <c r="DG41" i="5"/>
  <c r="CM41" i="5"/>
  <c r="CM34" i="5"/>
  <c r="AI9" i="5"/>
  <c r="AI34" i="5" s="1"/>
  <c r="O56" i="5"/>
  <c r="W9" i="5"/>
  <c r="W34" i="5" s="1"/>
  <c r="AE56" i="5"/>
  <c r="AA26" i="5"/>
  <c r="S26" i="5"/>
  <c r="S9" i="5"/>
  <c r="O9" i="5"/>
  <c r="O41" i="5" s="1"/>
  <c r="H8" i="5"/>
  <c r="I8" i="5" s="1"/>
  <c r="G38" i="5"/>
  <c r="EA38" i="5" s="1"/>
  <c r="EB38" i="5" s="1"/>
  <c r="EC38" i="5" s="1"/>
  <c r="EA13" i="5"/>
  <c r="EB13" i="5" s="1"/>
  <c r="EC13" i="5" s="1"/>
  <c r="DX19" i="5" l="1"/>
  <c r="DY19" i="5"/>
  <c r="K19" i="5"/>
  <c r="AA19" i="5"/>
  <c r="DX41" i="5"/>
  <c r="DY41" i="5"/>
  <c r="DY34" i="5"/>
  <c r="W41" i="5"/>
  <c r="AA34" i="5"/>
  <c r="K34" i="5"/>
  <c r="AE39" i="5"/>
  <c r="AF38" i="5"/>
  <c r="AG38" i="5" s="1"/>
  <c r="AF13" i="5"/>
  <c r="AG13" i="5" s="1"/>
  <c r="AE26" i="5"/>
  <c r="AF22" i="5"/>
  <c r="AG22" i="5" s="1"/>
  <c r="AE34" i="5"/>
  <c r="EC42" i="5"/>
  <c r="EC43" i="5" s="1"/>
  <c r="EB43" i="5"/>
  <c r="EB9" i="5"/>
  <c r="AI41" i="5"/>
  <c r="DX56" i="5"/>
  <c r="DY44" i="5"/>
  <c r="DY56" i="5" s="1"/>
  <c r="G39" i="5"/>
  <c r="EA39" i="5" s="1"/>
  <c r="EB39" i="5" s="1"/>
  <c r="EC39" i="5" s="1"/>
  <c r="S34" i="5"/>
  <c r="S41" i="5"/>
  <c r="EA9" i="5"/>
  <c r="EA34" i="5" s="1"/>
  <c r="O34" i="5"/>
  <c r="EA14" i="5"/>
  <c r="EB14" i="5" s="1"/>
  <c r="EC14" i="5" s="1"/>
  <c r="F41" i="5"/>
  <c r="DZ41" i="5"/>
  <c r="DT6" i="5"/>
  <c r="DP6" i="5"/>
  <c r="DL6" i="5"/>
  <c r="DH6" i="5"/>
  <c r="DD6" i="5"/>
  <c r="CZ6" i="5"/>
  <c r="CV6" i="5"/>
  <c r="CR6" i="5"/>
  <c r="CN6" i="5"/>
  <c r="CJ6" i="5"/>
  <c r="CF6" i="5"/>
  <c r="CB6" i="5"/>
  <c r="BX6" i="5"/>
  <c r="BT6" i="5"/>
  <c r="BP6" i="5"/>
  <c r="BL6" i="5"/>
  <c r="BH6" i="5"/>
  <c r="BD6" i="5"/>
  <c r="AZ6" i="5"/>
  <c r="AV6" i="5"/>
  <c r="AR6" i="5"/>
  <c r="AN6" i="5"/>
  <c r="AJ6" i="5"/>
  <c r="AB6" i="5"/>
  <c r="X6" i="5"/>
  <c r="T6" i="5"/>
  <c r="P6" i="5"/>
  <c r="L6" i="5"/>
  <c r="H6" i="5"/>
  <c r="DT7" i="5"/>
  <c r="DU7" i="5" s="1"/>
  <c r="DP7" i="5"/>
  <c r="DQ7" i="5" s="1"/>
  <c r="DL7" i="5"/>
  <c r="DM7" i="5" s="1"/>
  <c r="DH7" i="5"/>
  <c r="DI7" i="5" s="1"/>
  <c r="DD7" i="5"/>
  <c r="DE7" i="5" s="1"/>
  <c r="CZ7" i="5"/>
  <c r="DA7" i="5" s="1"/>
  <c r="CV7" i="5"/>
  <c r="CW7" i="5" s="1"/>
  <c r="CR7" i="5"/>
  <c r="CS7" i="5" s="1"/>
  <c r="CN7" i="5"/>
  <c r="CO7" i="5" s="1"/>
  <c r="CJ7" i="5"/>
  <c r="CK7" i="5" s="1"/>
  <c r="CF7" i="5"/>
  <c r="CG7" i="5" s="1"/>
  <c r="CB7" i="5"/>
  <c r="CC7" i="5" s="1"/>
  <c r="BX7" i="5"/>
  <c r="BY7" i="5" s="1"/>
  <c r="BT7" i="5"/>
  <c r="BU7" i="5" s="1"/>
  <c r="BP7" i="5"/>
  <c r="BQ7" i="5" s="1"/>
  <c r="BL7" i="5"/>
  <c r="BM7" i="5" s="1"/>
  <c r="BH7" i="5"/>
  <c r="BI7" i="5" s="1"/>
  <c r="BD7" i="5"/>
  <c r="BE7" i="5" s="1"/>
  <c r="AZ7" i="5"/>
  <c r="BA7" i="5" s="1"/>
  <c r="AV7" i="5"/>
  <c r="AW7" i="5" s="1"/>
  <c r="AR7" i="5"/>
  <c r="AS7" i="5" s="1"/>
  <c r="AN7" i="5"/>
  <c r="AO7" i="5" s="1"/>
  <c r="AJ7" i="5"/>
  <c r="AK7" i="5" s="1"/>
  <c r="AB7" i="5"/>
  <c r="AC7" i="5" s="1"/>
  <c r="X7" i="5"/>
  <c r="Y7" i="5" s="1"/>
  <c r="T7" i="5"/>
  <c r="U7" i="5" s="1"/>
  <c r="P7" i="5"/>
  <c r="Q7" i="5" s="1"/>
  <c r="L7" i="5"/>
  <c r="H7" i="5"/>
  <c r="G43" i="5"/>
  <c r="F43" i="5"/>
  <c r="DT42" i="5"/>
  <c r="DP42" i="5"/>
  <c r="DL42" i="5"/>
  <c r="DH42" i="5"/>
  <c r="DD42" i="5"/>
  <c r="CZ42" i="5"/>
  <c r="CV42" i="5"/>
  <c r="CR42" i="5"/>
  <c r="CN42" i="5"/>
  <c r="CJ42" i="5"/>
  <c r="CF42" i="5"/>
  <c r="CB42" i="5"/>
  <c r="BX42" i="5"/>
  <c r="BT42" i="5"/>
  <c r="BP42" i="5"/>
  <c r="BL42" i="5"/>
  <c r="BH42" i="5"/>
  <c r="BD42" i="5"/>
  <c r="AZ42" i="5"/>
  <c r="AV42" i="5"/>
  <c r="AR42" i="5"/>
  <c r="AN42" i="5"/>
  <c r="AJ42" i="5"/>
  <c r="AB42" i="5"/>
  <c r="X42" i="5"/>
  <c r="T42" i="5"/>
  <c r="P42" i="5"/>
  <c r="L42" i="5"/>
  <c r="H42" i="5"/>
  <c r="H43" i="5" s="1"/>
  <c r="G56" i="5"/>
  <c r="F56" i="5"/>
  <c r="F19" i="5"/>
  <c r="G26" i="5"/>
  <c r="F26" i="5"/>
  <c r="DT18" i="5"/>
  <c r="DU18" i="5" s="1"/>
  <c r="DP18" i="5"/>
  <c r="DQ18" i="5" s="1"/>
  <c r="DL18" i="5"/>
  <c r="DM18" i="5" s="1"/>
  <c r="DH18" i="5"/>
  <c r="DI18" i="5" s="1"/>
  <c r="DD18" i="5"/>
  <c r="DE18" i="5" s="1"/>
  <c r="CZ18" i="5"/>
  <c r="DA18" i="5" s="1"/>
  <c r="CV18" i="5"/>
  <c r="CW18" i="5" s="1"/>
  <c r="CR18" i="5"/>
  <c r="CS18" i="5" s="1"/>
  <c r="CN18" i="5"/>
  <c r="CO18" i="5" s="1"/>
  <c r="CJ18" i="5"/>
  <c r="CK18" i="5" s="1"/>
  <c r="CF18" i="5"/>
  <c r="CG18" i="5" s="1"/>
  <c r="CB18" i="5"/>
  <c r="CC18" i="5" s="1"/>
  <c r="BX18" i="5"/>
  <c r="BY18" i="5" s="1"/>
  <c r="BT18" i="5"/>
  <c r="BU18" i="5" s="1"/>
  <c r="BP18" i="5"/>
  <c r="BQ18" i="5" s="1"/>
  <c r="BL18" i="5"/>
  <c r="BM18" i="5" s="1"/>
  <c r="BH18" i="5"/>
  <c r="BI18" i="5" s="1"/>
  <c r="BD18" i="5"/>
  <c r="BE18" i="5" s="1"/>
  <c r="AZ18" i="5"/>
  <c r="BA18" i="5" s="1"/>
  <c r="AV18" i="5"/>
  <c r="AW18" i="5" s="1"/>
  <c r="AR18" i="5"/>
  <c r="AS18" i="5" s="1"/>
  <c r="AN18" i="5"/>
  <c r="AO18" i="5" s="1"/>
  <c r="AJ18" i="5"/>
  <c r="AK18" i="5" s="1"/>
  <c r="AB18" i="5"/>
  <c r="AC18" i="5" s="1"/>
  <c r="X18" i="5"/>
  <c r="Y18" i="5" s="1"/>
  <c r="T18" i="5"/>
  <c r="U18" i="5" s="1"/>
  <c r="P18" i="5"/>
  <c r="Q18" i="5" s="1"/>
  <c r="L18" i="5"/>
  <c r="M18" i="5" s="1"/>
  <c r="H18" i="5"/>
  <c r="H46" i="5"/>
  <c r="L46" i="5"/>
  <c r="M46" i="5" s="1"/>
  <c r="P46" i="5"/>
  <c r="Q46" i="5" s="1"/>
  <c r="T46" i="5"/>
  <c r="U46" i="5" s="1"/>
  <c r="X46" i="5"/>
  <c r="Y46" i="5" s="1"/>
  <c r="AB46" i="5"/>
  <c r="AC46" i="5" s="1"/>
  <c r="AJ46" i="5"/>
  <c r="AK46" i="5" s="1"/>
  <c r="AN46" i="5"/>
  <c r="AO46" i="5" s="1"/>
  <c r="AR46" i="5"/>
  <c r="AS46" i="5" s="1"/>
  <c r="AV46" i="5"/>
  <c r="AW46" i="5" s="1"/>
  <c r="AZ46" i="5"/>
  <c r="BA46" i="5" s="1"/>
  <c r="BD46" i="5"/>
  <c r="BE46" i="5" s="1"/>
  <c r="BH46" i="5"/>
  <c r="BI46" i="5" s="1"/>
  <c r="BL46" i="5"/>
  <c r="BM46" i="5" s="1"/>
  <c r="BP46" i="5"/>
  <c r="BQ46" i="5" s="1"/>
  <c r="BT46" i="5"/>
  <c r="BU46" i="5" s="1"/>
  <c r="BX46" i="5"/>
  <c r="BY46" i="5" s="1"/>
  <c r="CB46" i="5"/>
  <c r="CC46" i="5" s="1"/>
  <c r="CF46" i="5"/>
  <c r="CG46" i="5" s="1"/>
  <c r="CJ46" i="5"/>
  <c r="CK46" i="5" s="1"/>
  <c r="CN46" i="5"/>
  <c r="CO46" i="5" s="1"/>
  <c r="CR46" i="5"/>
  <c r="CS46" i="5" s="1"/>
  <c r="CV46" i="5"/>
  <c r="CW46" i="5" s="1"/>
  <c r="CZ46" i="5"/>
  <c r="DA46" i="5" s="1"/>
  <c r="DD46" i="5"/>
  <c r="DE46" i="5" s="1"/>
  <c r="DH46" i="5"/>
  <c r="DI46" i="5" s="1"/>
  <c r="DL46" i="5"/>
  <c r="DM46" i="5" s="1"/>
  <c r="DP46" i="5"/>
  <c r="DQ46" i="5" s="1"/>
  <c r="DT46" i="5"/>
  <c r="DU46" i="5" s="1"/>
  <c r="H47" i="5"/>
  <c r="L47" i="5"/>
  <c r="M47" i="5" s="1"/>
  <c r="P47" i="5"/>
  <c r="Q47" i="5" s="1"/>
  <c r="T47" i="5"/>
  <c r="U47" i="5" s="1"/>
  <c r="X47" i="5"/>
  <c r="Y47" i="5" s="1"/>
  <c r="AB47" i="5"/>
  <c r="AC47" i="5" s="1"/>
  <c r="AJ47" i="5"/>
  <c r="AK47" i="5" s="1"/>
  <c r="AN47" i="5"/>
  <c r="AO47" i="5" s="1"/>
  <c r="AR47" i="5"/>
  <c r="AS47" i="5" s="1"/>
  <c r="AV47" i="5"/>
  <c r="AW47" i="5" s="1"/>
  <c r="AZ47" i="5"/>
  <c r="BA47" i="5" s="1"/>
  <c r="BD47" i="5"/>
  <c r="BE47" i="5" s="1"/>
  <c r="BH47" i="5"/>
  <c r="BI47" i="5" s="1"/>
  <c r="BL47" i="5"/>
  <c r="BM47" i="5" s="1"/>
  <c r="BP47" i="5"/>
  <c r="BQ47" i="5" s="1"/>
  <c r="BT47" i="5"/>
  <c r="BU47" i="5" s="1"/>
  <c r="BX47" i="5"/>
  <c r="BY47" i="5" s="1"/>
  <c r="CB47" i="5"/>
  <c r="CC47" i="5" s="1"/>
  <c r="CF47" i="5"/>
  <c r="CG47" i="5" s="1"/>
  <c r="CJ47" i="5"/>
  <c r="CK47" i="5" s="1"/>
  <c r="CN47" i="5"/>
  <c r="CO47" i="5" s="1"/>
  <c r="CR47" i="5"/>
  <c r="CS47" i="5" s="1"/>
  <c r="CV47" i="5"/>
  <c r="CW47" i="5" s="1"/>
  <c r="CZ47" i="5"/>
  <c r="DA47" i="5" s="1"/>
  <c r="DD47" i="5"/>
  <c r="DE47" i="5" s="1"/>
  <c r="DH47" i="5"/>
  <c r="DI47" i="5" s="1"/>
  <c r="DL47" i="5"/>
  <c r="DM47" i="5" s="1"/>
  <c r="DP47" i="5"/>
  <c r="DQ47" i="5" s="1"/>
  <c r="DT47" i="5"/>
  <c r="DU47" i="5" s="1"/>
  <c r="H48" i="5"/>
  <c r="L48" i="5"/>
  <c r="M48" i="5" s="1"/>
  <c r="P48" i="5"/>
  <c r="Q48" i="5" s="1"/>
  <c r="T48" i="5"/>
  <c r="U48" i="5" s="1"/>
  <c r="X48" i="5"/>
  <c r="Y48" i="5" s="1"/>
  <c r="AB48" i="5"/>
  <c r="AC48" i="5" s="1"/>
  <c r="AJ48" i="5"/>
  <c r="AK48" i="5" s="1"/>
  <c r="AN48" i="5"/>
  <c r="AO48" i="5" s="1"/>
  <c r="AR48" i="5"/>
  <c r="AS48" i="5" s="1"/>
  <c r="AV48" i="5"/>
  <c r="AW48" i="5" s="1"/>
  <c r="AZ48" i="5"/>
  <c r="BA48" i="5" s="1"/>
  <c r="BD48" i="5"/>
  <c r="BE48" i="5" s="1"/>
  <c r="BH48" i="5"/>
  <c r="BI48" i="5" s="1"/>
  <c r="BL48" i="5"/>
  <c r="BM48" i="5" s="1"/>
  <c r="BP48" i="5"/>
  <c r="BQ48" i="5" s="1"/>
  <c r="BT48" i="5"/>
  <c r="BU48" i="5" s="1"/>
  <c r="BX48" i="5"/>
  <c r="BY48" i="5" s="1"/>
  <c r="CB48" i="5"/>
  <c r="CC48" i="5" s="1"/>
  <c r="CF48" i="5"/>
  <c r="CG48" i="5" s="1"/>
  <c r="CJ48" i="5"/>
  <c r="CK48" i="5" s="1"/>
  <c r="CN48" i="5"/>
  <c r="CO48" i="5" s="1"/>
  <c r="CR48" i="5"/>
  <c r="CS48" i="5" s="1"/>
  <c r="CV48" i="5"/>
  <c r="CW48" i="5" s="1"/>
  <c r="CZ48" i="5"/>
  <c r="DA48" i="5" s="1"/>
  <c r="DD48" i="5"/>
  <c r="DE48" i="5" s="1"/>
  <c r="DH48" i="5"/>
  <c r="DI48" i="5" s="1"/>
  <c r="DL48" i="5"/>
  <c r="DM48" i="5" s="1"/>
  <c r="DP48" i="5"/>
  <c r="DQ48" i="5" s="1"/>
  <c r="DT48" i="5"/>
  <c r="DU48" i="5" s="1"/>
  <c r="H49" i="5"/>
  <c r="L49" i="5"/>
  <c r="M49" i="5" s="1"/>
  <c r="P49" i="5"/>
  <c r="Q49" i="5" s="1"/>
  <c r="T49" i="5"/>
  <c r="U49" i="5" s="1"/>
  <c r="X49" i="5"/>
  <c r="Y49" i="5" s="1"/>
  <c r="AB49" i="5"/>
  <c r="AC49" i="5" s="1"/>
  <c r="AJ49" i="5"/>
  <c r="AK49" i="5" s="1"/>
  <c r="AN49" i="5"/>
  <c r="AO49" i="5" s="1"/>
  <c r="AR49" i="5"/>
  <c r="AS49" i="5" s="1"/>
  <c r="AV49" i="5"/>
  <c r="AW49" i="5" s="1"/>
  <c r="AZ49" i="5"/>
  <c r="BA49" i="5" s="1"/>
  <c r="BD49" i="5"/>
  <c r="BE49" i="5" s="1"/>
  <c r="BH49" i="5"/>
  <c r="BI49" i="5" s="1"/>
  <c r="BL49" i="5"/>
  <c r="BM49" i="5" s="1"/>
  <c r="BP49" i="5"/>
  <c r="BQ49" i="5" s="1"/>
  <c r="BT49" i="5"/>
  <c r="BU49" i="5" s="1"/>
  <c r="BX49" i="5"/>
  <c r="BY49" i="5" s="1"/>
  <c r="CB49" i="5"/>
  <c r="CC49" i="5" s="1"/>
  <c r="CF49" i="5"/>
  <c r="CG49" i="5" s="1"/>
  <c r="CJ49" i="5"/>
  <c r="CK49" i="5" s="1"/>
  <c r="CN49" i="5"/>
  <c r="CO49" i="5" s="1"/>
  <c r="CR49" i="5"/>
  <c r="CS49" i="5" s="1"/>
  <c r="CV49" i="5"/>
  <c r="CW49" i="5" s="1"/>
  <c r="CZ49" i="5"/>
  <c r="DA49" i="5" s="1"/>
  <c r="DD49" i="5"/>
  <c r="DE49" i="5" s="1"/>
  <c r="DH49" i="5"/>
  <c r="DI49" i="5" s="1"/>
  <c r="DL49" i="5"/>
  <c r="DM49" i="5" s="1"/>
  <c r="DP49" i="5"/>
  <c r="DQ49" i="5" s="1"/>
  <c r="DT49" i="5"/>
  <c r="DU49" i="5" s="1"/>
  <c r="H50" i="5"/>
  <c r="L50" i="5"/>
  <c r="M50" i="5" s="1"/>
  <c r="P50" i="5"/>
  <c r="Q50" i="5" s="1"/>
  <c r="T50" i="5"/>
  <c r="U50" i="5" s="1"/>
  <c r="X50" i="5"/>
  <c r="Y50" i="5" s="1"/>
  <c r="AB50" i="5"/>
  <c r="AC50" i="5" s="1"/>
  <c r="AJ50" i="5"/>
  <c r="AK50" i="5" s="1"/>
  <c r="AN50" i="5"/>
  <c r="AO50" i="5" s="1"/>
  <c r="AR50" i="5"/>
  <c r="AS50" i="5" s="1"/>
  <c r="AV50" i="5"/>
  <c r="AW50" i="5" s="1"/>
  <c r="AZ50" i="5"/>
  <c r="BA50" i="5" s="1"/>
  <c r="BD50" i="5"/>
  <c r="BE50" i="5" s="1"/>
  <c r="BH50" i="5"/>
  <c r="BI50" i="5" s="1"/>
  <c r="BL50" i="5"/>
  <c r="BM50" i="5" s="1"/>
  <c r="BP50" i="5"/>
  <c r="BQ50" i="5" s="1"/>
  <c r="BT50" i="5"/>
  <c r="BU50" i="5" s="1"/>
  <c r="BX50" i="5"/>
  <c r="BY50" i="5" s="1"/>
  <c r="CB50" i="5"/>
  <c r="CC50" i="5" s="1"/>
  <c r="CF50" i="5"/>
  <c r="CG50" i="5" s="1"/>
  <c r="CJ50" i="5"/>
  <c r="CK50" i="5" s="1"/>
  <c r="CN50" i="5"/>
  <c r="CO50" i="5" s="1"/>
  <c r="CR50" i="5"/>
  <c r="CS50" i="5" s="1"/>
  <c r="CV50" i="5"/>
  <c r="CW50" i="5" s="1"/>
  <c r="CZ50" i="5"/>
  <c r="DA50" i="5" s="1"/>
  <c r="DD50" i="5"/>
  <c r="DE50" i="5" s="1"/>
  <c r="DH50" i="5"/>
  <c r="DI50" i="5" s="1"/>
  <c r="DL50" i="5"/>
  <c r="DM50" i="5" s="1"/>
  <c r="DP50" i="5"/>
  <c r="DQ50" i="5" s="1"/>
  <c r="DT50" i="5"/>
  <c r="DU50" i="5" s="1"/>
  <c r="H51" i="5"/>
  <c r="L51" i="5"/>
  <c r="M51" i="5" s="1"/>
  <c r="P51" i="5"/>
  <c r="Q51" i="5" s="1"/>
  <c r="T51" i="5"/>
  <c r="U51" i="5" s="1"/>
  <c r="X51" i="5"/>
  <c r="Y51" i="5" s="1"/>
  <c r="AB51" i="5"/>
  <c r="AC51" i="5" s="1"/>
  <c r="AJ51" i="5"/>
  <c r="AK51" i="5" s="1"/>
  <c r="AN51" i="5"/>
  <c r="AO51" i="5" s="1"/>
  <c r="AR51" i="5"/>
  <c r="AS51" i="5" s="1"/>
  <c r="AV51" i="5"/>
  <c r="AW51" i="5" s="1"/>
  <c r="AZ51" i="5"/>
  <c r="BA51" i="5" s="1"/>
  <c r="BD51" i="5"/>
  <c r="BE51" i="5" s="1"/>
  <c r="BH51" i="5"/>
  <c r="BI51" i="5" s="1"/>
  <c r="BL51" i="5"/>
  <c r="BM51" i="5" s="1"/>
  <c r="BP51" i="5"/>
  <c r="BQ51" i="5" s="1"/>
  <c r="BT51" i="5"/>
  <c r="BU51" i="5" s="1"/>
  <c r="BX51" i="5"/>
  <c r="BY51" i="5" s="1"/>
  <c r="CB51" i="5"/>
  <c r="CC51" i="5" s="1"/>
  <c r="CF51" i="5"/>
  <c r="CG51" i="5" s="1"/>
  <c r="CJ51" i="5"/>
  <c r="CK51" i="5" s="1"/>
  <c r="CN51" i="5"/>
  <c r="CO51" i="5" s="1"/>
  <c r="CR51" i="5"/>
  <c r="CS51" i="5" s="1"/>
  <c r="CV51" i="5"/>
  <c r="CW51" i="5" s="1"/>
  <c r="CZ51" i="5"/>
  <c r="DA51" i="5" s="1"/>
  <c r="DD51" i="5"/>
  <c r="DE51" i="5" s="1"/>
  <c r="DH51" i="5"/>
  <c r="DI51" i="5" s="1"/>
  <c r="DL51" i="5"/>
  <c r="DM51" i="5" s="1"/>
  <c r="DP51" i="5"/>
  <c r="DQ51" i="5" s="1"/>
  <c r="DT51" i="5"/>
  <c r="DU51" i="5" s="1"/>
  <c r="H52" i="5"/>
  <c r="L52" i="5"/>
  <c r="M52" i="5" s="1"/>
  <c r="P52" i="5"/>
  <c r="Q52" i="5" s="1"/>
  <c r="T52" i="5"/>
  <c r="U52" i="5" s="1"/>
  <c r="X52" i="5"/>
  <c r="Y52" i="5" s="1"/>
  <c r="AB52" i="5"/>
  <c r="AC52" i="5" s="1"/>
  <c r="AJ52" i="5"/>
  <c r="AK52" i="5" s="1"/>
  <c r="AN52" i="5"/>
  <c r="AO52" i="5" s="1"/>
  <c r="AR52" i="5"/>
  <c r="AS52" i="5" s="1"/>
  <c r="AV52" i="5"/>
  <c r="AW52" i="5" s="1"/>
  <c r="AZ52" i="5"/>
  <c r="BA52" i="5" s="1"/>
  <c r="BD52" i="5"/>
  <c r="BE52" i="5" s="1"/>
  <c r="BH52" i="5"/>
  <c r="BI52" i="5" s="1"/>
  <c r="BL52" i="5"/>
  <c r="BM52" i="5" s="1"/>
  <c r="BP52" i="5"/>
  <c r="BQ52" i="5" s="1"/>
  <c r="BT52" i="5"/>
  <c r="BU52" i="5" s="1"/>
  <c r="BX52" i="5"/>
  <c r="BY52" i="5" s="1"/>
  <c r="CB52" i="5"/>
  <c r="CC52" i="5" s="1"/>
  <c r="CF52" i="5"/>
  <c r="CG52" i="5" s="1"/>
  <c r="CJ52" i="5"/>
  <c r="CK52" i="5" s="1"/>
  <c r="CN52" i="5"/>
  <c r="CO52" i="5" s="1"/>
  <c r="CR52" i="5"/>
  <c r="CS52" i="5" s="1"/>
  <c r="CV52" i="5"/>
  <c r="CW52" i="5" s="1"/>
  <c r="CZ52" i="5"/>
  <c r="DA52" i="5" s="1"/>
  <c r="DD52" i="5"/>
  <c r="DE52" i="5" s="1"/>
  <c r="DH52" i="5"/>
  <c r="DI52" i="5" s="1"/>
  <c r="DL52" i="5"/>
  <c r="DM52" i="5" s="1"/>
  <c r="DP52" i="5"/>
  <c r="DQ52" i="5" s="1"/>
  <c r="DT52" i="5"/>
  <c r="DU52" i="5" s="1"/>
  <c r="H53" i="5"/>
  <c r="L53" i="5"/>
  <c r="M53" i="5" s="1"/>
  <c r="P53" i="5"/>
  <c r="Q53" i="5" s="1"/>
  <c r="T53" i="5"/>
  <c r="U53" i="5" s="1"/>
  <c r="X53" i="5"/>
  <c r="Y53" i="5" s="1"/>
  <c r="AB53" i="5"/>
  <c r="AC53" i="5" s="1"/>
  <c r="AJ53" i="5"/>
  <c r="AK53" i="5" s="1"/>
  <c r="AN53" i="5"/>
  <c r="AO53" i="5" s="1"/>
  <c r="AR53" i="5"/>
  <c r="AS53" i="5" s="1"/>
  <c r="AV53" i="5"/>
  <c r="AW53" i="5" s="1"/>
  <c r="AZ53" i="5"/>
  <c r="BA53" i="5" s="1"/>
  <c r="BD53" i="5"/>
  <c r="BE53" i="5" s="1"/>
  <c r="BH53" i="5"/>
  <c r="BI53" i="5" s="1"/>
  <c r="BL53" i="5"/>
  <c r="BM53" i="5" s="1"/>
  <c r="BP53" i="5"/>
  <c r="BQ53" i="5" s="1"/>
  <c r="BT53" i="5"/>
  <c r="BU53" i="5" s="1"/>
  <c r="BX53" i="5"/>
  <c r="BY53" i="5" s="1"/>
  <c r="CB53" i="5"/>
  <c r="CC53" i="5" s="1"/>
  <c r="CF53" i="5"/>
  <c r="CG53" i="5" s="1"/>
  <c r="CJ53" i="5"/>
  <c r="CK53" i="5" s="1"/>
  <c r="CN53" i="5"/>
  <c r="CO53" i="5" s="1"/>
  <c r="CR53" i="5"/>
  <c r="CS53" i="5" s="1"/>
  <c r="CV53" i="5"/>
  <c r="CW53" i="5" s="1"/>
  <c r="CZ53" i="5"/>
  <c r="DA53" i="5" s="1"/>
  <c r="DD53" i="5"/>
  <c r="DE53" i="5" s="1"/>
  <c r="DH53" i="5"/>
  <c r="DI53" i="5" s="1"/>
  <c r="DL53" i="5"/>
  <c r="DM53" i="5" s="1"/>
  <c r="DP53" i="5"/>
  <c r="DQ53" i="5" s="1"/>
  <c r="DT53" i="5"/>
  <c r="DU53" i="5" s="1"/>
  <c r="H54" i="5"/>
  <c r="L54" i="5"/>
  <c r="M54" i="5" s="1"/>
  <c r="P54" i="5"/>
  <c r="Q54" i="5" s="1"/>
  <c r="T54" i="5"/>
  <c r="U54" i="5" s="1"/>
  <c r="X54" i="5"/>
  <c r="Y54" i="5" s="1"/>
  <c r="AB54" i="5"/>
  <c r="AC54" i="5" s="1"/>
  <c r="AJ54" i="5"/>
  <c r="AK54" i="5" s="1"/>
  <c r="AN54" i="5"/>
  <c r="AO54" i="5" s="1"/>
  <c r="AR54" i="5"/>
  <c r="AS54" i="5" s="1"/>
  <c r="AV54" i="5"/>
  <c r="AW54" i="5" s="1"/>
  <c r="AZ54" i="5"/>
  <c r="BA54" i="5" s="1"/>
  <c r="BD54" i="5"/>
  <c r="BE54" i="5" s="1"/>
  <c r="BH54" i="5"/>
  <c r="BI54" i="5" s="1"/>
  <c r="BL54" i="5"/>
  <c r="BM54" i="5" s="1"/>
  <c r="BP54" i="5"/>
  <c r="BQ54" i="5" s="1"/>
  <c r="BT54" i="5"/>
  <c r="BU54" i="5" s="1"/>
  <c r="BX54" i="5"/>
  <c r="BY54" i="5" s="1"/>
  <c r="CB54" i="5"/>
  <c r="CC54" i="5" s="1"/>
  <c r="CF54" i="5"/>
  <c r="CG54" i="5" s="1"/>
  <c r="CJ54" i="5"/>
  <c r="CK54" i="5" s="1"/>
  <c r="CN54" i="5"/>
  <c r="CO54" i="5" s="1"/>
  <c r="CR54" i="5"/>
  <c r="CS54" i="5" s="1"/>
  <c r="CV54" i="5"/>
  <c r="CW54" i="5" s="1"/>
  <c r="CZ54" i="5"/>
  <c r="DA54" i="5" s="1"/>
  <c r="DD54" i="5"/>
  <c r="DE54" i="5" s="1"/>
  <c r="DH54" i="5"/>
  <c r="DI54" i="5" s="1"/>
  <c r="DL54" i="5"/>
  <c r="DM54" i="5" s="1"/>
  <c r="DP54" i="5"/>
  <c r="DQ54" i="5" s="1"/>
  <c r="DT54" i="5"/>
  <c r="DU54" i="5" s="1"/>
  <c r="H55" i="5"/>
  <c r="L55" i="5"/>
  <c r="M55" i="5" s="1"/>
  <c r="P55" i="5"/>
  <c r="Q55" i="5" s="1"/>
  <c r="T55" i="5"/>
  <c r="U55" i="5" s="1"/>
  <c r="X55" i="5"/>
  <c r="Y55" i="5" s="1"/>
  <c r="AB55" i="5"/>
  <c r="AC55" i="5" s="1"/>
  <c r="AJ55" i="5"/>
  <c r="AK55" i="5" s="1"/>
  <c r="AN55" i="5"/>
  <c r="AO55" i="5" s="1"/>
  <c r="AR55" i="5"/>
  <c r="AS55" i="5" s="1"/>
  <c r="AV55" i="5"/>
  <c r="AW55" i="5" s="1"/>
  <c r="AZ55" i="5"/>
  <c r="BA55" i="5" s="1"/>
  <c r="BD55" i="5"/>
  <c r="BE55" i="5" s="1"/>
  <c r="BH55" i="5"/>
  <c r="BI55" i="5" s="1"/>
  <c r="BL55" i="5"/>
  <c r="BM55" i="5" s="1"/>
  <c r="BP55" i="5"/>
  <c r="BQ55" i="5" s="1"/>
  <c r="BT55" i="5"/>
  <c r="BU55" i="5" s="1"/>
  <c r="BX55" i="5"/>
  <c r="BY55" i="5" s="1"/>
  <c r="CB55" i="5"/>
  <c r="CC55" i="5" s="1"/>
  <c r="CF55" i="5"/>
  <c r="CG55" i="5" s="1"/>
  <c r="CJ55" i="5"/>
  <c r="CK55" i="5" s="1"/>
  <c r="CN55" i="5"/>
  <c r="CO55" i="5" s="1"/>
  <c r="CR55" i="5"/>
  <c r="CS55" i="5" s="1"/>
  <c r="CV55" i="5"/>
  <c r="CW55" i="5" s="1"/>
  <c r="CZ55" i="5"/>
  <c r="DA55" i="5" s="1"/>
  <c r="DD55" i="5"/>
  <c r="DE55" i="5" s="1"/>
  <c r="DH55" i="5"/>
  <c r="DI55" i="5" s="1"/>
  <c r="DL55" i="5"/>
  <c r="DM55" i="5" s="1"/>
  <c r="DP55" i="5"/>
  <c r="DQ55" i="5" s="1"/>
  <c r="DT55" i="5"/>
  <c r="DU55" i="5" s="1"/>
  <c r="DA42" i="5" l="1"/>
  <c r="DA43" i="5" s="1"/>
  <c r="CZ43" i="5"/>
  <c r="DE42" i="5"/>
  <c r="DE43" i="5" s="1"/>
  <c r="DD43" i="5"/>
  <c r="M42" i="5"/>
  <c r="M43" i="5" s="1"/>
  <c r="L43" i="5"/>
  <c r="CC42" i="5"/>
  <c r="CC43" i="5" s="1"/>
  <c r="CB43" i="5"/>
  <c r="DI42" i="5"/>
  <c r="DI43" i="5" s="1"/>
  <c r="DH43" i="5"/>
  <c r="Q42" i="5"/>
  <c r="Q43" i="5" s="1"/>
  <c r="P43" i="5"/>
  <c r="CG42" i="5"/>
  <c r="CG43" i="5" s="1"/>
  <c r="CF43" i="5"/>
  <c r="DM42" i="5"/>
  <c r="DM43" i="5" s="1"/>
  <c r="DL43" i="5"/>
  <c r="U42" i="5"/>
  <c r="U43" i="5" s="1"/>
  <c r="T43" i="5"/>
  <c r="CK42" i="5"/>
  <c r="CK43" i="5" s="1"/>
  <c r="CJ43" i="5"/>
  <c r="DQ42" i="5"/>
  <c r="DQ43" i="5" s="1"/>
  <c r="DP43" i="5"/>
  <c r="AE15" i="5"/>
  <c r="AF14" i="5"/>
  <c r="AG14" i="5" s="1"/>
  <c r="CO42" i="5"/>
  <c r="CO43" i="5" s="1"/>
  <c r="CN43" i="5"/>
  <c r="DU42" i="5"/>
  <c r="DU43" i="5" s="1"/>
  <c r="DT43" i="5"/>
  <c r="AC42" i="5"/>
  <c r="AC43" i="5" s="1"/>
  <c r="AB43" i="5"/>
  <c r="CS42" i="5"/>
  <c r="CS43" i="5" s="1"/>
  <c r="CR43" i="5"/>
  <c r="AE40" i="5"/>
  <c r="AF40" i="5" s="1"/>
  <c r="AG40" i="5" s="1"/>
  <c r="AF39" i="5"/>
  <c r="AG39" i="5" s="1"/>
  <c r="CW42" i="5"/>
  <c r="CW43" i="5" s="1"/>
  <c r="CV43" i="5"/>
  <c r="BY42" i="5"/>
  <c r="BY43" i="5" s="1"/>
  <c r="BX43" i="5"/>
  <c r="BU42" i="5"/>
  <c r="BU43" i="5" s="1"/>
  <c r="BT43" i="5"/>
  <c r="BQ42" i="5"/>
  <c r="BQ43" i="5" s="1"/>
  <c r="BP43" i="5"/>
  <c r="BM42" i="5"/>
  <c r="BM43" i="5" s="1"/>
  <c r="BL43" i="5"/>
  <c r="BI42" i="5"/>
  <c r="BI43" i="5" s="1"/>
  <c r="BH43" i="5"/>
  <c r="BE42" i="5"/>
  <c r="BE43" i="5" s="1"/>
  <c r="BD43" i="5"/>
  <c r="BA42" i="5"/>
  <c r="BA43" i="5" s="1"/>
  <c r="AZ43" i="5"/>
  <c r="Y42" i="5"/>
  <c r="Y43" i="5" s="1"/>
  <c r="X43" i="5"/>
  <c r="AS42" i="5"/>
  <c r="AS43" i="5" s="1"/>
  <c r="AR43" i="5"/>
  <c r="AK42" i="5"/>
  <c r="AK43" i="5" s="1"/>
  <c r="AJ43" i="5"/>
  <c r="AO42" i="5"/>
  <c r="AO43" i="5" s="1"/>
  <c r="AN43" i="5"/>
  <c r="AW42" i="5"/>
  <c r="AW43" i="5" s="1"/>
  <c r="AV43" i="5"/>
  <c r="M7" i="5"/>
  <c r="I55" i="5"/>
  <c r="I51" i="5"/>
  <c r="I47" i="5"/>
  <c r="I48" i="5"/>
  <c r="I52" i="5"/>
  <c r="I53" i="5"/>
  <c r="I49" i="5"/>
  <c r="I54" i="5"/>
  <c r="I46" i="5"/>
  <c r="I50" i="5"/>
  <c r="I42" i="5"/>
  <c r="I43" i="5" s="1"/>
  <c r="I18" i="5"/>
  <c r="G40" i="5"/>
  <c r="EA40" i="5" s="1"/>
  <c r="EB40" i="5" s="1"/>
  <c r="EC40" i="5" s="1"/>
  <c r="Y6" i="5"/>
  <c r="Y9" i="5" s="1"/>
  <c r="X9" i="5"/>
  <c r="BE6" i="5"/>
  <c r="BE9" i="5" s="1"/>
  <c r="BD9" i="5"/>
  <c r="CK6" i="5"/>
  <c r="CK9" i="5" s="1"/>
  <c r="CJ9" i="5"/>
  <c r="DQ6" i="5"/>
  <c r="DQ9" i="5" s="1"/>
  <c r="DP9" i="5"/>
  <c r="AB9" i="5"/>
  <c r="BI6" i="5"/>
  <c r="BI9" i="5" s="1"/>
  <c r="BH9" i="5"/>
  <c r="CO6" i="5"/>
  <c r="CO9" i="5" s="1"/>
  <c r="CN9" i="5"/>
  <c r="DU6" i="5"/>
  <c r="DU9" i="5" s="1"/>
  <c r="DT9" i="5"/>
  <c r="DI6" i="5"/>
  <c r="DI9" i="5" s="1"/>
  <c r="DH9" i="5"/>
  <c r="AG9" i="5"/>
  <c r="AF9" i="5"/>
  <c r="BM6" i="5"/>
  <c r="BM9" i="5" s="1"/>
  <c r="BL9" i="5"/>
  <c r="CS6" i="5"/>
  <c r="CS9" i="5" s="1"/>
  <c r="CR9" i="5"/>
  <c r="Q6" i="5"/>
  <c r="Q9" i="5" s="1"/>
  <c r="P9" i="5"/>
  <c r="CC6" i="5"/>
  <c r="CC9" i="5" s="1"/>
  <c r="CB9" i="5"/>
  <c r="AK6" i="5"/>
  <c r="AK9" i="5" s="1"/>
  <c r="AJ9" i="5"/>
  <c r="BQ6" i="5"/>
  <c r="BQ9" i="5" s="1"/>
  <c r="BP9" i="5"/>
  <c r="CW6" i="5"/>
  <c r="CW9" i="5" s="1"/>
  <c r="CV9" i="5"/>
  <c r="AW6" i="5"/>
  <c r="AW9" i="5" s="1"/>
  <c r="AV9" i="5"/>
  <c r="U6" i="5"/>
  <c r="U9" i="5" s="1"/>
  <c r="T9" i="5"/>
  <c r="CG6" i="5"/>
  <c r="CG9" i="5" s="1"/>
  <c r="CF9" i="5"/>
  <c r="DM6" i="5"/>
  <c r="DM9" i="5" s="1"/>
  <c r="DL9" i="5"/>
  <c r="H9" i="5"/>
  <c r="AN9" i="5"/>
  <c r="BU6" i="5"/>
  <c r="BU9" i="5" s="1"/>
  <c r="BT9" i="5"/>
  <c r="DA6" i="5"/>
  <c r="DA9" i="5" s="1"/>
  <c r="CZ9" i="5"/>
  <c r="G15" i="5"/>
  <c r="BA6" i="5"/>
  <c r="BA9" i="5" s="1"/>
  <c r="AZ9" i="5"/>
  <c r="M6" i="5"/>
  <c r="L9" i="5"/>
  <c r="AS6" i="5"/>
  <c r="AS9" i="5" s="1"/>
  <c r="AR9" i="5"/>
  <c r="BY6" i="5"/>
  <c r="BY9" i="5" s="1"/>
  <c r="BX9" i="5"/>
  <c r="DE6" i="5"/>
  <c r="DE9" i="5" s="1"/>
  <c r="DD9" i="5"/>
  <c r="AC6" i="5"/>
  <c r="AC9" i="5" s="1"/>
  <c r="AO6" i="5"/>
  <c r="AO9" i="5" s="1"/>
  <c r="I7" i="5"/>
  <c r="I6" i="5"/>
  <c r="DT45" i="5"/>
  <c r="DU45" i="5" s="1"/>
  <c r="DP45" i="5"/>
  <c r="DQ45" i="5" s="1"/>
  <c r="DL45" i="5"/>
  <c r="DM45" i="5" s="1"/>
  <c r="DH45" i="5"/>
  <c r="DI45" i="5" s="1"/>
  <c r="DT44" i="5"/>
  <c r="DP44" i="5"/>
  <c r="DL44" i="5"/>
  <c r="DH44" i="5"/>
  <c r="DT40" i="5"/>
  <c r="DU40" i="5" s="1"/>
  <c r="DP40" i="5"/>
  <c r="DQ40" i="5" s="1"/>
  <c r="DL40" i="5"/>
  <c r="DM40" i="5" s="1"/>
  <c r="DH40" i="5"/>
  <c r="DI40" i="5" s="1"/>
  <c r="DT39" i="5"/>
  <c r="DU39" i="5" s="1"/>
  <c r="DP39" i="5"/>
  <c r="DQ39" i="5" s="1"/>
  <c r="DL39" i="5"/>
  <c r="DM39" i="5" s="1"/>
  <c r="DH39" i="5"/>
  <c r="DI39" i="5" s="1"/>
  <c r="DT38" i="5"/>
  <c r="DU38" i="5" s="1"/>
  <c r="DP38" i="5"/>
  <c r="DQ38" i="5" s="1"/>
  <c r="DL38" i="5"/>
  <c r="DM38" i="5" s="1"/>
  <c r="DH38" i="5"/>
  <c r="DI38" i="5" s="1"/>
  <c r="DT37" i="5"/>
  <c r="DU37" i="5" s="1"/>
  <c r="DP37" i="5"/>
  <c r="DQ37" i="5" s="1"/>
  <c r="DL37" i="5"/>
  <c r="DM37" i="5" s="1"/>
  <c r="DH37" i="5"/>
  <c r="DI37" i="5" s="1"/>
  <c r="DT36" i="5"/>
  <c r="DP36" i="5"/>
  <c r="DL36" i="5"/>
  <c r="DH36" i="5"/>
  <c r="DT33" i="5"/>
  <c r="DP33" i="5"/>
  <c r="DL33" i="5"/>
  <c r="DH33" i="5"/>
  <c r="DT32" i="5"/>
  <c r="DU32" i="5" s="1"/>
  <c r="DP32" i="5"/>
  <c r="DQ32" i="5" s="1"/>
  <c r="DL32" i="5"/>
  <c r="DM32" i="5" s="1"/>
  <c r="DH32" i="5"/>
  <c r="DI32" i="5" s="1"/>
  <c r="DT31" i="5"/>
  <c r="DU31" i="5" s="1"/>
  <c r="DP31" i="5"/>
  <c r="DQ31" i="5" s="1"/>
  <c r="DL31" i="5"/>
  <c r="DM31" i="5" s="1"/>
  <c r="DH31" i="5"/>
  <c r="DI31" i="5" s="1"/>
  <c r="DT30" i="5"/>
  <c r="DP30" i="5"/>
  <c r="DL30" i="5"/>
  <c r="DH30" i="5"/>
  <c r="DT29" i="5"/>
  <c r="DU29" i="5" s="1"/>
  <c r="DP29" i="5"/>
  <c r="DQ29" i="5" s="1"/>
  <c r="DL29" i="5"/>
  <c r="DM29" i="5" s="1"/>
  <c r="DH29" i="5"/>
  <c r="DI29" i="5" s="1"/>
  <c r="DT28" i="5"/>
  <c r="DP28" i="5"/>
  <c r="DL28" i="5"/>
  <c r="DH28" i="5"/>
  <c r="DT25" i="5"/>
  <c r="DU25" i="5" s="1"/>
  <c r="DP25" i="5"/>
  <c r="DQ25" i="5" s="1"/>
  <c r="DL25" i="5"/>
  <c r="DM25" i="5" s="1"/>
  <c r="DH25" i="5"/>
  <c r="DI25" i="5" s="1"/>
  <c r="DT23" i="5"/>
  <c r="DU23" i="5" s="1"/>
  <c r="DP23" i="5"/>
  <c r="DQ23" i="5" s="1"/>
  <c r="DL23" i="5"/>
  <c r="DM23" i="5" s="1"/>
  <c r="DH23" i="5"/>
  <c r="DI23" i="5" s="1"/>
  <c r="DT22" i="5"/>
  <c r="DU22" i="5" s="1"/>
  <c r="DP22" i="5"/>
  <c r="DQ22" i="5" s="1"/>
  <c r="DL22" i="5"/>
  <c r="DM22" i="5" s="1"/>
  <c r="DH22" i="5"/>
  <c r="DI22" i="5" s="1"/>
  <c r="DT21" i="5"/>
  <c r="DU21" i="5" s="1"/>
  <c r="DP21" i="5"/>
  <c r="DQ21" i="5" s="1"/>
  <c r="DL21" i="5"/>
  <c r="DM21" i="5" s="1"/>
  <c r="DH21" i="5"/>
  <c r="DI21" i="5" s="1"/>
  <c r="DT20" i="5"/>
  <c r="DT17" i="5"/>
  <c r="DP17" i="5"/>
  <c r="DL17" i="5"/>
  <c r="DH17" i="5"/>
  <c r="DT16" i="5"/>
  <c r="DU16" i="5" s="1"/>
  <c r="DP16" i="5"/>
  <c r="DQ16" i="5" s="1"/>
  <c r="DL16" i="5"/>
  <c r="DM16" i="5" s="1"/>
  <c r="DH16" i="5"/>
  <c r="DI16" i="5" s="1"/>
  <c r="DT15" i="5"/>
  <c r="DU15" i="5" s="1"/>
  <c r="DP15" i="5"/>
  <c r="DQ15" i="5" s="1"/>
  <c r="DL15" i="5"/>
  <c r="DM15" i="5" s="1"/>
  <c r="DH15" i="5"/>
  <c r="DI15" i="5" s="1"/>
  <c r="DT14" i="5"/>
  <c r="DU14" i="5" s="1"/>
  <c r="DP14" i="5"/>
  <c r="DQ14" i="5" s="1"/>
  <c r="DL14" i="5"/>
  <c r="DM14" i="5" s="1"/>
  <c r="DH14" i="5"/>
  <c r="DI14" i="5" s="1"/>
  <c r="DT13" i="5"/>
  <c r="DU13" i="5" s="1"/>
  <c r="DP13" i="5"/>
  <c r="DQ13" i="5" s="1"/>
  <c r="DL13" i="5"/>
  <c r="DM13" i="5" s="1"/>
  <c r="DH13" i="5"/>
  <c r="DI13" i="5" s="1"/>
  <c r="DT12" i="5"/>
  <c r="DU12" i="5" s="1"/>
  <c r="DP12" i="5"/>
  <c r="DQ12" i="5" s="1"/>
  <c r="DL12" i="5"/>
  <c r="DM12" i="5" s="1"/>
  <c r="DH12" i="5"/>
  <c r="DI12" i="5" s="1"/>
  <c r="DT11" i="5"/>
  <c r="DP11" i="5"/>
  <c r="DL11" i="5"/>
  <c r="DH11" i="5"/>
  <c r="DT4" i="5"/>
  <c r="DP4" i="5"/>
  <c r="DL4" i="5"/>
  <c r="DH4" i="5"/>
  <c r="DT3" i="5"/>
  <c r="DU3" i="5" s="1"/>
  <c r="DP3" i="5"/>
  <c r="DQ3" i="5" s="1"/>
  <c r="DL3" i="5"/>
  <c r="DM3" i="5" s="1"/>
  <c r="DH3" i="5"/>
  <c r="DI3" i="5" s="1"/>
  <c r="DD45" i="5"/>
  <c r="DE45" i="5" s="1"/>
  <c r="CZ45" i="5"/>
  <c r="DA45" i="5" s="1"/>
  <c r="CV45" i="5"/>
  <c r="CW45" i="5" s="1"/>
  <c r="CR45" i="5"/>
  <c r="CS45" i="5" s="1"/>
  <c r="CN45" i="5"/>
  <c r="CO45" i="5" s="1"/>
  <c r="CJ45" i="5"/>
  <c r="CK45" i="5" s="1"/>
  <c r="CF45" i="5"/>
  <c r="CG45" i="5" s="1"/>
  <c r="CB45" i="5"/>
  <c r="CC45" i="5" s="1"/>
  <c r="BX45" i="5"/>
  <c r="BY45" i="5" s="1"/>
  <c r="BT45" i="5"/>
  <c r="BU45" i="5" s="1"/>
  <c r="BP45" i="5"/>
  <c r="BQ45" i="5" s="1"/>
  <c r="BL45" i="5"/>
  <c r="BM45" i="5" s="1"/>
  <c r="BH45" i="5"/>
  <c r="BI45" i="5" s="1"/>
  <c r="DD44" i="5"/>
  <c r="CZ44" i="5"/>
  <c r="CV44" i="5"/>
  <c r="CR44" i="5"/>
  <c r="CN44" i="5"/>
  <c r="CJ44" i="5"/>
  <c r="CF44" i="5"/>
  <c r="CB44" i="5"/>
  <c r="BX44" i="5"/>
  <c r="BT44" i="5"/>
  <c r="BP44" i="5"/>
  <c r="BL44" i="5"/>
  <c r="BH44" i="5"/>
  <c r="DD40" i="5"/>
  <c r="DE40" i="5" s="1"/>
  <c r="CZ40" i="5"/>
  <c r="DA40" i="5" s="1"/>
  <c r="CV40" i="5"/>
  <c r="CW40" i="5" s="1"/>
  <c r="CR40" i="5"/>
  <c r="CS40" i="5" s="1"/>
  <c r="CN40" i="5"/>
  <c r="CO40" i="5" s="1"/>
  <c r="CJ40" i="5"/>
  <c r="CK40" i="5" s="1"/>
  <c r="CF40" i="5"/>
  <c r="CG40" i="5" s="1"/>
  <c r="CB40" i="5"/>
  <c r="CC40" i="5" s="1"/>
  <c r="BX40" i="5"/>
  <c r="BY40" i="5" s="1"/>
  <c r="BT40" i="5"/>
  <c r="BU40" i="5" s="1"/>
  <c r="BP40" i="5"/>
  <c r="BQ40" i="5" s="1"/>
  <c r="BL40" i="5"/>
  <c r="BM40" i="5" s="1"/>
  <c r="BH40" i="5"/>
  <c r="BI40" i="5" s="1"/>
  <c r="DD39" i="5"/>
  <c r="DE39" i="5" s="1"/>
  <c r="CZ39" i="5"/>
  <c r="DA39" i="5" s="1"/>
  <c r="CV39" i="5"/>
  <c r="CW39" i="5" s="1"/>
  <c r="CR39" i="5"/>
  <c r="CS39" i="5" s="1"/>
  <c r="CN39" i="5"/>
  <c r="CO39" i="5" s="1"/>
  <c r="CJ39" i="5"/>
  <c r="CK39" i="5" s="1"/>
  <c r="CF39" i="5"/>
  <c r="CG39" i="5" s="1"/>
  <c r="CB39" i="5"/>
  <c r="CC39" i="5" s="1"/>
  <c r="BX39" i="5"/>
  <c r="BY39" i="5" s="1"/>
  <c r="BT39" i="5"/>
  <c r="BU39" i="5" s="1"/>
  <c r="BP39" i="5"/>
  <c r="BQ39" i="5" s="1"/>
  <c r="BL39" i="5"/>
  <c r="BM39" i="5" s="1"/>
  <c r="BH39" i="5"/>
  <c r="BI39" i="5" s="1"/>
  <c r="DD38" i="5"/>
  <c r="DE38" i="5" s="1"/>
  <c r="CZ38" i="5"/>
  <c r="DA38" i="5" s="1"/>
  <c r="CV38" i="5"/>
  <c r="CW38" i="5" s="1"/>
  <c r="CR38" i="5"/>
  <c r="CS38" i="5" s="1"/>
  <c r="CN38" i="5"/>
  <c r="CO38" i="5" s="1"/>
  <c r="CJ38" i="5"/>
  <c r="CK38" i="5" s="1"/>
  <c r="CF38" i="5"/>
  <c r="CG38" i="5" s="1"/>
  <c r="CB38" i="5"/>
  <c r="CC38" i="5" s="1"/>
  <c r="BX38" i="5"/>
  <c r="BY38" i="5" s="1"/>
  <c r="BT38" i="5"/>
  <c r="BU38" i="5" s="1"/>
  <c r="BP38" i="5"/>
  <c r="BQ38" i="5" s="1"/>
  <c r="BL38" i="5"/>
  <c r="BM38" i="5" s="1"/>
  <c r="BH38" i="5"/>
  <c r="BI38" i="5" s="1"/>
  <c r="DD37" i="5"/>
  <c r="DE37" i="5" s="1"/>
  <c r="CZ37" i="5"/>
  <c r="DA37" i="5" s="1"/>
  <c r="CV37" i="5"/>
  <c r="CW37" i="5" s="1"/>
  <c r="CR37" i="5"/>
  <c r="CS37" i="5" s="1"/>
  <c r="CN37" i="5"/>
  <c r="CO37" i="5" s="1"/>
  <c r="CJ37" i="5"/>
  <c r="CK37" i="5" s="1"/>
  <c r="CF37" i="5"/>
  <c r="CG37" i="5" s="1"/>
  <c r="CB37" i="5"/>
  <c r="CC37" i="5" s="1"/>
  <c r="BX37" i="5"/>
  <c r="BY37" i="5" s="1"/>
  <c r="BT37" i="5"/>
  <c r="BU37" i="5" s="1"/>
  <c r="BP37" i="5"/>
  <c r="BQ37" i="5" s="1"/>
  <c r="BL37" i="5"/>
  <c r="BM37" i="5" s="1"/>
  <c r="BH37" i="5"/>
  <c r="BI37" i="5" s="1"/>
  <c r="DD36" i="5"/>
  <c r="CZ36" i="5"/>
  <c r="CV36" i="5"/>
  <c r="CR36" i="5"/>
  <c r="CN36" i="5"/>
  <c r="CJ36" i="5"/>
  <c r="CF36" i="5"/>
  <c r="CB36" i="5"/>
  <c r="BX36" i="5"/>
  <c r="BT36" i="5"/>
  <c r="BP36" i="5"/>
  <c r="BL36" i="5"/>
  <c r="BH36" i="5"/>
  <c r="DD33" i="5"/>
  <c r="CZ33" i="5"/>
  <c r="CV33" i="5"/>
  <c r="CR33" i="5"/>
  <c r="CN33" i="5"/>
  <c r="CJ33" i="5"/>
  <c r="CF33" i="5"/>
  <c r="CB33" i="5"/>
  <c r="BX33" i="5"/>
  <c r="BT33" i="5"/>
  <c r="BP33" i="5"/>
  <c r="BL33" i="5"/>
  <c r="BH33" i="5"/>
  <c r="DD32" i="5"/>
  <c r="DE32" i="5" s="1"/>
  <c r="CZ32" i="5"/>
  <c r="DA32" i="5" s="1"/>
  <c r="CV32" i="5"/>
  <c r="CW32" i="5" s="1"/>
  <c r="CR32" i="5"/>
  <c r="CS32" i="5" s="1"/>
  <c r="CN32" i="5"/>
  <c r="CO32" i="5" s="1"/>
  <c r="CJ32" i="5"/>
  <c r="CK32" i="5" s="1"/>
  <c r="CF32" i="5"/>
  <c r="CG32" i="5" s="1"/>
  <c r="CB32" i="5"/>
  <c r="CC32" i="5" s="1"/>
  <c r="BX32" i="5"/>
  <c r="BY32" i="5" s="1"/>
  <c r="BT32" i="5"/>
  <c r="BU32" i="5" s="1"/>
  <c r="BP32" i="5"/>
  <c r="BQ32" i="5" s="1"/>
  <c r="BL32" i="5"/>
  <c r="BM32" i="5" s="1"/>
  <c r="BH32" i="5"/>
  <c r="BI32" i="5" s="1"/>
  <c r="DD31" i="5"/>
  <c r="DE31" i="5" s="1"/>
  <c r="CZ31" i="5"/>
  <c r="DA31" i="5" s="1"/>
  <c r="CV31" i="5"/>
  <c r="CW31" i="5" s="1"/>
  <c r="CR31" i="5"/>
  <c r="CS31" i="5" s="1"/>
  <c r="CN31" i="5"/>
  <c r="CO31" i="5" s="1"/>
  <c r="CJ31" i="5"/>
  <c r="CK31" i="5" s="1"/>
  <c r="CF31" i="5"/>
  <c r="CG31" i="5" s="1"/>
  <c r="CB31" i="5"/>
  <c r="CC31" i="5" s="1"/>
  <c r="BX31" i="5"/>
  <c r="BY31" i="5" s="1"/>
  <c r="BT31" i="5"/>
  <c r="BU31" i="5" s="1"/>
  <c r="BP31" i="5"/>
  <c r="BQ31" i="5" s="1"/>
  <c r="BL31" i="5"/>
  <c r="BM31" i="5" s="1"/>
  <c r="BH31" i="5"/>
  <c r="BI31" i="5" s="1"/>
  <c r="DD30" i="5"/>
  <c r="CZ30" i="5"/>
  <c r="CV30" i="5"/>
  <c r="CR30" i="5"/>
  <c r="CN30" i="5"/>
  <c r="CJ30" i="5"/>
  <c r="CF30" i="5"/>
  <c r="CB30" i="5"/>
  <c r="BX30" i="5"/>
  <c r="BT30" i="5"/>
  <c r="BP30" i="5"/>
  <c r="BL30" i="5"/>
  <c r="BH30" i="5"/>
  <c r="DD29" i="5"/>
  <c r="DE29" i="5" s="1"/>
  <c r="CZ29" i="5"/>
  <c r="DA29" i="5" s="1"/>
  <c r="CV29" i="5"/>
  <c r="CW29" i="5" s="1"/>
  <c r="CR29" i="5"/>
  <c r="CS29" i="5" s="1"/>
  <c r="CN29" i="5"/>
  <c r="CO29" i="5" s="1"/>
  <c r="CJ29" i="5"/>
  <c r="CK29" i="5" s="1"/>
  <c r="CF29" i="5"/>
  <c r="CG29" i="5" s="1"/>
  <c r="CB29" i="5"/>
  <c r="CC29" i="5" s="1"/>
  <c r="BX29" i="5"/>
  <c r="BY29" i="5" s="1"/>
  <c r="BT29" i="5"/>
  <c r="BU29" i="5" s="1"/>
  <c r="BP29" i="5"/>
  <c r="BQ29" i="5" s="1"/>
  <c r="BL29" i="5"/>
  <c r="BM29" i="5" s="1"/>
  <c r="BH29" i="5"/>
  <c r="BI29" i="5" s="1"/>
  <c r="DD28" i="5"/>
  <c r="CZ28" i="5"/>
  <c r="CV28" i="5"/>
  <c r="CR28" i="5"/>
  <c r="CN28" i="5"/>
  <c r="CJ28" i="5"/>
  <c r="CF28" i="5"/>
  <c r="CB28" i="5"/>
  <c r="BX28" i="5"/>
  <c r="BT28" i="5"/>
  <c r="BP28" i="5"/>
  <c r="BL28" i="5"/>
  <c r="BH28" i="5"/>
  <c r="DD25" i="5"/>
  <c r="DE25" i="5" s="1"/>
  <c r="CZ25" i="5"/>
  <c r="DA25" i="5" s="1"/>
  <c r="CV25" i="5"/>
  <c r="CW25" i="5" s="1"/>
  <c r="CR25" i="5"/>
  <c r="CS25" i="5" s="1"/>
  <c r="CN25" i="5"/>
  <c r="CO25" i="5" s="1"/>
  <c r="CJ25" i="5"/>
  <c r="CK25" i="5" s="1"/>
  <c r="CF25" i="5"/>
  <c r="CG25" i="5" s="1"/>
  <c r="CB25" i="5"/>
  <c r="CC25" i="5" s="1"/>
  <c r="BX25" i="5"/>
  <c r="BY25" i="5" s="1"/>
  <c r="BT25" i="5"/>
  <c r="BU25" i="5" s="1"/>
  <c r="BP25" i="5"/>
  <c r="BQ25" i="5" s="1"/>
  <c r="BL25" i="5"/>
  <c r="BM25" i="5" s="1"/>
  <c r="BH25" i="5"/>
  <c r="BI25" i="5" s="1"/>
  <c r="DD23" i="5"/>
  <c r="DE23" i="5" s="1"/>
  <c r="CZ23" i="5"/>
  <c r="DA23" i="5" s="1"/>
  <c r="CV23" i="5"/>
  <c r="CW23" i="5" s="1"/>
  <c r="CR23" i="5"/>
  <c r="CS23" i="5" s="1"/>
  <c r="CN23" i="5"/>
  <c r="CO23" i="5" s="1"/>
  <c r="CJ23" i="5"/>
  <c r="CK23" i="5" s="1"/>
  <c r="CF23" i="5"/>
  <c r="CG23" i="5" s="1"/>
  <c r="CB23" i="5"/>
  <c r="CC23" i="5" s="1"/>
  <c r="BX23" i="5"/>
  <c r="BY23" i="5" s="1"/>
  <c r="BT23" i="5"/>
  <c r="BU23" i="5" s="1"/>
  <c r="BP23" i="5"/>
  <c r="BQ23" i="5" s="1"/>
  <c r="BL23" i="5"/>
  <c r="BM23" i="5" s="1"/>
  <c r="BH23" i="5"/>
  <c r="BI23" i="5" s="1"/>
  <c r="DD22" i="5"/>
  <c r="DE22" i="5" s="1"/>
  <c r="CZ22" i="5"/>
  <c r="DA22" i="5" s="1"/>
  <c r="CV22" i="5"/>
  <c r="CW22" i="5" s="1"/>
  <c r="CR22" i="5"/>
  <c r="CS22" i="5" s="1"/>
  <c r="CN22" i="5"/>
  <c r="CO22" i="5" s="1"/>
  <c r="CJ22" i="5"/>
  <c r="CK22" i="5" s="1"/>
  <c r="CF22" i="5"/>
  <c r="CG22" i="5" s="1"/>
  <c r="CB22" i="5"/>
  <c r="CC22" i="5" s="1"/>
  <c r="BX22" i="5"/>
  <c r="BY22" i="5" s="1"/>
  <c r="BT22" i="5"/>
  <c r="BU22" i="5" s="1"/>
  <c r="BP22" i="5"/>
  <c r="BQ22" i="5" s="1"/>
  <c r="BL22" i="5"/>
  <c r="BM22" i="5" s="1"/>
  <c r="BH22" i="5"/>
  <c r="BI22" i="5" s="1"/>
  <c r="DD21" i="5"/>
  <c r="DE21" i="5" s="1"/>
  <c r="CZ21" i="5"/>
  <c r="DA21" i="5" s="1"/>
  <c r="CV21" i="5"/>
  <c r="CW21" i="5" s="1"/>
  <c r="CR21" i="5"/>
  <c r="CS21" i="5" s="1"/>
  <c r="CN21" i="5"/>
  <c r="CO21" i="5" s="1"/>
  <c r="CJ21" i="5"/>
  <c r="CK21" i="5" s="1"/>
  <c r="CF21" i="5"/>
  <c r="CG21" i="5" s="1"/>
  <c r="CB21" i="5"/>
  <c r="CC21" i="5" s="1"/>
  <c r="BX21" i="5"/>
  <c r="BY21" i="5" s="1"/>
  <c r="BT21" i="5"/>
  <c r="BU21" i="5" s="1"/>
  <c r="BP21" i="5"/>
  <c r="BQ21" i="5" s="1"/>
  <c r="BL21" i="5"/>
  <c r="BM21" i="5" s="1"/>
  <c r="BH21" i="5"/>
  <c r="BI21" i="5" s="1"/>
  <c r="DD17" i="5"/>
  <c r="CZ17" i="5"/>
  <c r="CV17" i="5"/>
  <c r="CR17" i="5"/>
  <c r="CN17" i="5"/>
  <c r="CJ17" i="5"/>
  <c r="CF17" i="5"/>
  <c r="CB17" i="5"/>
  <c r="BX17" i="5"/>
  <c r="BT17" i="5"/>
  <c r="BP17" i="5"/>
  <c r="BL17" i="5"/>
  <c r="BH17" i="5"/>
  <c r="DD16" i="5"/>
  <c r="DE16" i="5" s="1"/>
  <c r="CZ16" i="5"/>
  <c r="DA16" i="5" s="1"/>
  <c r="CV16" i="5"/>
  <c r="CW16" i="5" s="1"/>
  <c r="CR16" i="5"/>
  <c r="CS16" i="5" s="1"/>
  <c r="CN16" i="5"/>
  <c r="CO16" i="5" s="1"/>
  <c r="CJ16" i="5"/>
  <c r="CK16" i="5" s="1"/>
  <c r="CF16" i="5"/>
  <c r="CG16" i="5" s="1"/>
  <c r="CB16" i="5"/>
  <c r="CC16" i="5" s="1"/>
  <c r="BX16" i="5"/>
  <c r="BY16" i="5" s="1"/>
  <c r="BT16" i="5"/>
  <c r="BU16" i="5" s="1"/>
  <c r="BP16" i="5"/>
  <c r="BQ16" i="5" s="1"/>
  <c r="BL16" i="5"/>
  <c r="BM16" i="5" s="1"/>
  <c r="BH16" i="5"/>
  <c r="BI16" i="5" s="1"/>
  <c r="DD15" i="5"/>
  <c r="DE15" i="5" s="1"/>
  <c r="CZ15" i="5"/>
  <c r="DA15" i="5" s="1"/>
  <c r="CV15" i="5"/>
  <c r="CW15" i="5" s="1"/>
  <c r="CR15" i="5"/>
  <c r="CS15" i="5" s="1"/>
  <c r="CN15" i="5"/>
  <c r="CO15" i="5" s="1"/>
  <c r="CJ15" i="5"/>
  <c r="CK15" i="5" s="1"/>
  <c r="CF15" i="5"/>
  <c r="CG15" i="5" s="1"/>
  <c r="CB15" i="5"/>
  <c r="CC15" i="5" s="1"/>
  <c r="BX15" i="5"/>
  <c r="BY15" i="5" s="1"/>
  <c r="BT15" i="5"/>
  <c r="BU15" i="5" s="1"/>
  <c r="BP15" i="5"/>
  <c r="BQ15" i="5" s="1"/>
  <c r="BL15" i="5"/>
  <c r="BM15" i="5" s="1"/>
  <c r="BH15" i="5"/>
  <c r="BI15" i="5" s="1"/>
  <c r="DD14" i="5"/>
  <c r="DE14" i="5" s="1"/>
  <c r="CZ14" i="5"/>
  <c r="DA14" i="5" s="1"/>
  <c r="CV14" i="5"/>
  <c r="CW14" i="5" s="1"/>
  <c r="CR14" i="5"/>
  <c r="CS14" i="5" s="1"/>
  <c r="CN14" i="5"/>
  <c r="CO14" i="5" s="1"/>
  <c r="CJ14" i="5"/>
  <c r="CK14" i="5" s="1"/>
  <c r="CF14" i="5"/>
  <c r="CG14" i="5" s="1"/>
  <c r="CB14" i="5"/>
  <c r="CC14" i="5" s="1"/>
  <c r="BX14" i="5"/>
  <c r="BY14" i="5" s="1"/>
  <c r="BT14" i="5"/>
  <c r="BU14" i="5" s="1"/>
  <c r="BP14" i="5"/>
  <c r="BQ14" i="5" s="1"/>
  <c r="BL14" i="5"/>
  <c r="BM14" i="5" s="1"/>
  <c r="BH14" i="5"/>
  <c r="BI14" i="5" s="1"/>
  <c r="DD13" i="5"/>
  <c r="DE13" i="5" s="1"/>
  <c r="CZ13" i="5"/>
  <c r="DA13" i="5" s="1"/>
  <c r="CV13" i="5"/>
  <c r="CW13" i="5" s="1"/>
  <c r="CR13" i="5"/>
  <c r="CS13" i="5" s="1"/>
  <c r="CN13" i="5"/>
  <c r="CO13" i="5" s="1"/>
  <c r="CJ13" i="5"/>
  <c r="CK13" i="5" s="1"/>
  <c r="CF13" i="5"/>
  <c r="CG13" i="5" s="1"/>
  <c r="CB13" i="5"/>
  <c r="CC13" i="5" s="1"/>
  <c r="BX13" i="5"/>
  <c r="BY13" i="5" s="1"/>
  <c r="BT13" i="5"/>
  <c r="BU13" i="5" s="1"/>
  <c r="BP13" i="5"/>
  <c r="BQ13" i="5" s="1"/>
  <c r="BL13" i="5"/>
  <c r="BM13" i="5" s="1"/>
  <c r="BH13" i="5"/>
  <c r="BI13" i="5" s="1"/>
  <c r="DD12" i="5"/>
  <c r="DE12" i="5" s="1"/>
  <c r="CZ12" i="5"/>
  <c r="DA12" i="5" s="1"/>
  <c r="CV12" i="5"/>
  <c r="CW12" i="5" s="1"/>
  <c r="CR12" i="5"/>
  <c r="CS12" i="5" s="1"/>
  <c r="CN12" i="5"/>
  <c r="CO12" i="5" s="1"/>
  <c r="CJ12" i="5"/>
  <c r="CK12" i="5" s="1"/>
  <c r="CF12" i="5"/>
  <c r="CG12" i="5" s="1"/>
  <c r="CB12" i="5"/>
  <c r="CC12" i="5" s="1"/>
  <c r="BX12" i="5"/>
  <c r="BY12" i="5" s="1"/>
  <c r="BT12" i="5"/>
  <c r="BU12" i="5" s="1"/>
  <c r="BP12" i="5"/>
  <c r="BQ12" i="5" s="1"/>
  <c r="BL12" i="5"/>
  <c r="BM12" i="5" s="1"/>
  <c r="BH12" i="5"/>
  <c r="BI12" i="5" s="1"/>
  <c r="DD11" i="5"/>
  <c r="CZ11" i="5"/>
  <c r="CV11" i="5"/>
  <c r="CR11" i="5"/>
  <c r="CN11" i="5"/>
  <c r="CJ11" i="5"/>
  <c r="CF11" i="5"/>
  <c r="CB11" i="5"/>
  <c r="BX11" i="5"/>
  <c r="BT11" i="5"/>
  <c r="BP11" i="5"/>
  <c r="BL11" i="5"/>
  <c r="BH11" i="5"/>
  <c r="DD4" i="5"/>
  <c r="CZ4" i="5"/>
  <c r="CV4" i="5"/>
  <c r="CR4" i="5"/>
  <c r="CN4" i="5"/>
  <c r="CJ4" i="5"/>
  <c r="CF4" i="5"/>
  <c r="CB4" i="5"/>
  <c r="BX4" i="5"/>
  <c r="BT4" i="5"/>
  <c r="BP4" i="5"/>
  <c r="BL4" i="5"/>
  <c r="BH4" i="5"/>
  <c r="DD3" i="5"/>
  <c r="DE3" i="5" s="1"/>
  <c r="CZ3" i="5"/>
  <c r="DA3" i="5" s="1"/>
  <c r="CV3" i="5"/>
  <c r="CW3" i="5" s="1"/>
  <c r="CR3" i="5"/>
  <c r="CS3" i="5" s="1"/>
  <c r="CN3" i="5"/>
  <c r="CO3" i="5" s="1"/>
  <c r="CJ3" i="5"/>
  <c r="CK3" i="5" s="1"/>
  <c r="CF3" i="5"/>
  <c r="CG3" i="5" s="1"/>
  <c r="CB3" i="5"/>
  <c r="CC3" i="5" s="1"/>
  <c r="BX3" i="5"/>
  <c r="BY3" i="5" s="1"/>
  <c r="BT3" i="5"/>
  <c r="BU3" i="5" s="1"/>
  <c r="BP3" i="5"/>
  <c r="BQ3" i="5" s="1"/>
  <c r="BL3" i="5"/>
  <c r="BM3" i="5" s="1"/>
  <c r="BH3" i="5"/>
  <c r="BI3" i="5" s="1"/>
  <c r="BD45" i="5"/>
  <c r="BE45" i="5" s="1"/>
  <c r="BD44" i="5"/>
  <c r="BD40" i="5"/>
  <c r="BE40" i="5" s="1"/>
  <c r="BD39" i="5"/>
  <c r="BE39" i="5" s="1"/>
  <c r="BD38" i="5"/>
  <c r="BE38" i="5" s="1"/>
  <c r="BD37" i="5"/>
  <c r="BE37" i="5" s="1"/>
  <c r="BD36" i="5"/>
  <c r="BD33" i="5"/>
  <c r="BD32" i="5"/>
  <c r="BE32" i="5" s="1"/>
  <c r="BD31" i="5"/>
  <c r="BE31" i="5" s="1"/>
  <c r="BD30" i="5"/>
  <c r="BD29" i="5"/>
  <c r="BE29" i="5" s="1"/>
  <c r="BD28" i="5"/>
  <c r="BD25" i="5"/>
  <c r="BE25" i="5" s="1"/>
  <c r="BD23" i="5"/>
  <c r="BE23" i="5" s="1"/>
  <c r="BD22" i="5"/>
  <c r="BE22" i="5" s="1"/>
  <c r="BD21" i="5"/>
  <c r="BE21" i="5" s="1"/>
  <c r="BD17" i="5"/>
  <c r="BD16" i="5"/>
  <c r="BE16" i="5" s="1"/>
  <c r="BD15" i="5"/>
  <c r="BE15" i="5" s="1"/>
  <c r="BD14" i="5"/>
  <c r="BE14" i="5" s="1"/>
  <c r="BD13" i="5"/>
  <c r="BE13" i="5" s="1"/>
  <c r="BD12" i="5"/>
  <c r="BE12" i="5" s="1"/>
  <c r="BD11" i="5"/>
  <c r="BD4" i="5"/>
  <c r="BD3" i="5"/>
  <c r="BE3" i="5" s="1"/>
  <c r="AZ45" i="5"/>
  <c r="BA45" i="5" s="1"/>
  <c r="AZ44" i="5"/>
  <c r="AZ40" i="5"/>
  <c r="BA40" i="5" s="1"/>
  <c r="AZ39" i="5"/>
  <c r="BA39" i="5" s="1"/>
  <c r="AZ38" i="5"/>
  <c r="BA38" i="5" s="1"/>
  <c r="AZ37" i="5"/>
  <c r="BA37" i="5" s="1"/>
  <c r="AZ36" i="5"/>
  <c r="AZ33" i="5"/>
  <c r="AZ32" i="5"/>
  <c r="BA32" i="5" s="1"/>
  <c r="AZ31" i="5"/>
  <c r="BA31" i="5" s="1"/>
  <c r="AZ30" i="5"/>
  <c r="AZ29" i="5"/>
  <c r="BA29" i="5" s="1"/>
  <c r="AZ28" i="5"/>
  <c r="AZ25" i="5"/>
  <c r="BA25" i="5" s="1"/>
  <c r="AZ23" i="5"/>
  <c r="BA23" i="5" s="1"/>
  <c r="AZ22" i="5"/>
  <c r="BA22" i="5" s="1"/>
  <c r="AZ21" i="5"/>
  <c r="BA21" i="5" s="1"/>
  <c r="AZ17" i="5"/>
  <c r="AZ16" i="5"/>
  <c r="BA16" i="5" s="1"/>
  <c r="AZ15" i="5"/>
  <c r="BA15" i="5" s="1"/>
  <c r="AZ14" i="5"/>
  <c r="BA14" i="5" s="1"/>
  <c r="AZ13" i="5"/>
  <c r="BA13" i="5" s="1"/>
  <c r="AZ12" i="5"/>
  <c r="BA12" i="5" s="1"/>
  <c r="AZ11" i="5"/>
  <c r="AZ4" i="5"/>
  <c r="AZ3" i="5"/>
  <c r="BA3" i="5" s="1"/>
  <c r="AV45" i="5"/>
  <c r="AW45" i="5" s="1"/>
  <c r="AV44" i="5"/>
  <c r="AV40" i="5"/>
  <c r="AW40" i="5" s="1"/>
  <c r="AV39" i="5"/>
  <c r="AW39" i="5" s="1"/>
  <c r="AV38" i="5"/>
  <c r="AW38" i="5" s="1"/>
  <c r="AV37" i="5"/>
  <c r="AW37" i="5" s="1"/>
  <c r="AV36" i="5"/>
  <c r="AV33" i="5"/>
  <c r="AV32" i="5"/>
  <c r="AW32" i="5" s="1"/>
  <c r="AV31" i="5"/>
  <c r="AW31" i="5" s="1"/>
  <c r="AV30" i="5"/>
  <c r="AV29" i="5"/>
  <c r="AW29" i="5" s="1"/>
  <c r="AV28" i="5"/>
  <c r="AV25" i="5"/>
  <c r="AW25" i="5" s="1"/>
  <c r="AV23" i="5"/>
  <c r="AW23" i="5" s="1"/>
  <c r="AV22" i="5"/>
  <c r="AW22" i="5" s="1"/>
  <c r="AV21" i="5"/>
  <c r="AW21" i="5" s="1"/>
  <c r="AV17" i="5"/>
  <c r="AV16" i="5"/>
  <c r="AW16" i="5" s="1"/>
  <c r="AV15" i="5"/>
  <c r="AW15" i="5" s="1"/>
  <c r="AV14" i="5"/>
  <c r="AW14" i="5" s="1"/>
  <c r="AV13" i="5"/>
  <c r="AW13" i="5" s="1"/>
  <c r="AV12" i="5"/>
  <c r="AW12" i="5" s="1"/>
  <c r="AV11" i="5"/>
  <c r="AV4" i="5"/>
  <c r="AV3" i="5"/>
  <c r="AW3" i="5" s="1"/>
  <c r="AR45" i="5"/>
  <c r="AS45" i="5" s="1"/>
  <c r="AR44" i="5"/>
  <c r="AR40" i="5"/>
  <c r="AS40" i="5" s="1"/>
  <c r="AR39" i="5"/>
  <c r="AS39" i="5" s="1"/>
  <c r="AR38" i="5"/>
  <c r="AS38" i="5" s="1"/>
  <c r="AR37" i="5"/>
  <c r="AS37" i="5" s="1"/>
  <c r="AR36" i="5"/>
  <c r="AR33" i="5"/>
  <c r="AR32" i="5"/>
  <c r="AS32" i="5" s="1"/>
  <c r="AR31" i="5"/>
  <c r="AS31" i="5" s="1"/>
  <c r="AR30" i="5"/>
  <c r="AR29" i="5"/>
  <c r="AS29" i="5" s="1"/>
  <c r="AR28" i="5"/>
  <c r="AR25" i="5"/>
  <c r="AS25" i="5" s="1"/>
  <c r="AR23" i="5"/>
  <c r="AS23" i="5" s="1"/>
  <c r="AR22" i="5"/>
  <c r="AS22" i="5" s="1"/>
  <c r="AR21" i="5"/>
  <c r="AS21" i="5" s="1"/>
  <c r="AR17" i="5"/>
  <c r="AR16" i="5"/>
  <c r="AS16" i="5" s="1"/>
  <c r="AR15" i="5"/>
  <c r="AS15" i="5" s="1"/>
  <c r="AR14" i="5"/>
  <c r="AS14" i="5" s="1"/>
  <c r="AR13" i="5"/>
  <c r="AS13" i="5" s="1"/>
  <c r="AR12" i="5"/>
  <c r="AS12" i="5" s="1"/>
  <c r="AR11" i="5"/>
  <c r="AR4" i="5"/>
  <c r="AR3" i="5"/>
  <c r="AS3" i="5" s="1"/>
  <c r="AN45" i="5"/>
  <c r="AO45" i="5" s="1"/>
  <c r="AN44" i="5"/>
  <c r="AN40" i="5"/>
  <c r="AO40" i="5" s="1"/>
  <c r="AN39" i="5"/>
  <c r="AO39" i="5" s="1"/>
  <c r="AN38" i="5"/>
  <c r="AO38" i="5" s="1"/>
  <c r="AN37" i="5"/>
  <c r="AO37" i="5" s="1"/>
  <c r="AN36" i="5"/>
  <c r="AN33" i="5"/>
  <c r="AN32" i="5"/>
  <c r="AO32" i="5" s="1"/>
  <c r="AN31" i="5"/>
  <c r="AO31" i="5" s="1"/>
  <c r="AN30" i="5"/>
  <c r="AN29" i="5"/>
  <c r="AO29" i="5" s="1"/>
  <c r="AN28" i="5"/>
  <c r="AN25" i="5"/>
  <c r="AO25" i="5" s="1"/>
  <c r="AN23" i="5"/>
  <c r="AO23" i="5" s="1"/>
  <c r="AN22" i="5"/>
  <c r="AO22" i="5" s="1"/>
  <c r="AN21" i="5"/>
  <c r="AO21" i="5" s="1"/>
  <c r="AN17" i="5"/>
  <c r="AN16" i="5"/>
  <c r="AO16" i="5" s="1"/>
  <c r="AN15" i="5"/>
  <c r="AO15" i="5" s="1"/>
  <c r="AN14" i="5"/>
  <c r="AO14" i="5" s="1"/>
  <c r="AN13" i="5"/>
  <c r="AO13" i="5" s="1"/>
  <c r="AN12" i="5"/>
  <c r="AO12" i="5" s="1"/>
  <c r="AN11" i="5"/>
  <c r="AN4" i="5"/>
  <c r="AN3" i="5"/>
  <c r="AO3" i="5" s="1"/>
  <c r="AJ45" i="5"/>
  <c r="AK45" i="5" s="1"/>
  <c r="AJ44" i="5"/>
  <c r="AJ40" i="5"/>
  <c r="AK40" i="5" s="1"/>
  <c r="AJ39" i="5"/>
  <c r="AK39" i="5" s="1"/>
  <c r="AJ38" i="5"/>
  <c r="AK38" i="5" s="1"/>
  <c r="AJ37" i="5"/>
  <c r="AK37" i="5" s="1"/>
  <c r="AJ36" i="5"/>
  <c r="AJ33" i="5"/>
  <c r="AJ32" i="5"/>
  <c r="AK32" i="5" s="1"/>
  <c r="AJ31" i="5"/>
  <c r="AK31" i="5" s="1"/>
  <c r="AJ30" i="5"/>
  <c r="AJ29" i="5"/>
  <c r="AK29" i="5" s="1"/>
  <c r="AJ28" i="5"/>
  <c r="AJ25" i="5"/>
  <c r="AK25" i="5" s="1"/>
  <c r="AJ23" i="5"/>
  <c r="AK23" i="5" s="1"/>
  <c r="AJ22" i="5"/>
  <c r="AK22" i="5" s="1"/>
  <c r="AJ21" i="5"/>
  <c r="AK21" i="5" s="1"/>
  <c r="AJ17" i="5"/>
  <c r="AJ16" i="5"/>
  <c r="AK16" i="5" s="1"/>
  <c r="AJ15" i="5"/>
  <c r="AK15" i="5" s="1"/>
  <c r="AJ14" i="5"/>
  <c r="AK14" i="5" s="1"/>
  <c r="AJ13" i="5"/>
  <c r="AK13" i="5" s="1"/>
  <c r="AJ12" i="5"/>
  <c r="AK12" i="5" s="1"/>
  <c r="AJ11" i="5"/>
  <c r="AJ4" i="5"/>
  <c r="AJ3" i="5"/>
  <c r="AK3" i="5" s="1"/>
  <c r="AB45" i="5"/>
  <c r="AC45" i="5" s="1"/>
  <c r="AB44" i="5"/>
  <c r="AB40" i="5"/>
  <c r="AC40" i="5" s="1"/>
  <c r="AB39" i="5"/>
  <c r="AC39" i="5" s="1"/>
  <c r="AB38" i="5"/>
  <c r="AC38" i="5" s="1"/>
  <c r="AB37" i="5"/>
  <c r="AC37" i="5" s="1"/>
  <c r="AB36" i="5"/>
  <c r="AB33" i="5"/>
  <c r="AB32" i="5"/>
  <c r="AC32" i="5" s="1"/>
  <c r="AB31" i="5"/>
  <c r="AC31" i="5" s="1"/>
  <c r="AB30" i="5"/>
  <c r="AB29" i="5"/>
  <c r="AC29" i="5" s="1"/>
  <c r="AB28" i="5"/>
  <c r="AB25" i="5"/>
  <c r="AC25" i="5" s="1"/>
  <c r="AB23" i="5"/>
  <c r="AC23" i="5" s="1"/>
  <c r="AB22" i="5"/>
  <c r="AC22" i="5" s="1"/>
  <c r="AB21" i="5"/>
  <c r="AC21" i="5" s="1"/>
  <c r="AB17" i="5"/>
  <c r="AB16" i="5"/>
  <c r="AC16" i="5" s="1"/>
  <c r="AB15" i="5"/>
  <c r="AC15" i="5" s="1"/>
  <c r="AB14" i="5"/>
  <c r="AC14" i="5" s="1"/>
  <c r="AB13" i="5"/>
  <c r="AC13" i="5" s="1"/>
  <c r="AB12" i="5"/>
  <c r="AC12" i="5" s="1"/>
  <c r="AB11" i="5"/>
  <c r="AB4" i="5"/>
  <c r="AB3" i="5"/>
  <c r="AC3" i="5" s="1"/>
  <c r="X45" i="5"/>
  <c r="Y45" i="5" s="1"/>
  <c r="X44" i="5"/>
  <c r="X40" i="5"/>
  <c r="Y40" i="5" s="1"/>
  <c r="X39" i="5"/>
  <c r="Y39" i="5" s="1"/>
  <c r="X38" i="5"/>
  <c r="Y38" i="5" s="1"/>
  <c r="X37" i="5"/>
  <c r="Y37" i="5" s="1"/>
  <c r="X36" i="5"/>
  <c r="X33" i="5"/>
  <c r="X32" i="5"/>
  <c r="Y32" i="5" s="1"/>
  <c r="X31" i="5"/>
  <c r="Y31" i="5" s="1"/>
  <c r="X30" i="5"/>
  <c r="X29" i="5"/>
  <c r="Y29" i="5" s="1"/>
  <c r="X28" i="5"/>
  <c r="X25" i="5"/>
  <c r="Y25" i="5" s="1"/>
  <c r="X23" i="5"/>
  <c r="Y23" i="5" s="1"/>
  <c r="X22" i="5"/>
  <c r="Y22" i="5" s="1"/>
  <c r="X21" i="5"/>
  <c r="Y21" i="5" s="1"/>
  <c r="X17" i="5"/>
  <c r="X16" i="5"/>
  <c r="Y16" i="5" s="1"/>
  <c r="X15" i="5"/>
  <c r="Y15" i="5" s="1"/>
  <c r="X14" i="5"/>
  <c r="Y14" i="5" s="1"/>
  <c r="X13" i="5"/>
  <c r="Y13" i="5" s="1"/>
  <c r="X12" i="5"/>
  <c r="Y12" i="5" s="1"/>
  <c r="X11" i="5"/>
  <c r="X4" i="5"/>
  <c r="X3" i="5"/>
  <c r="Y3" i="5" s="1"/>
  <c r="T45" i="5"/>
  <c r="U45" i="5" s="1"/>
  <c r="T44" i="5"/>
  <c r="T40" i="5"/>
  <c r="U40" i="5" s="1"/>
  <c r="T39" i="5"/>
  <c r="U39" i="5" s="1"/>
  <c r="T38" i="5"/>
  <c r="U38" i="5" s="1"/>
  <c r="T37" i="5"/>
  <c r="U37" i="5" s="1"/>
  <c r="T36" i="5"/>
  <c r="T33" i="5"/>
  <c r="T32" i="5"/>
  <c r="U32" i="5" s="1"/>
  <c r="T31" i="5"/>
  <c r="U31" i="5" s="1"/>
  <c r="T30" i="5"/>
  <c r="T29" i="5"/>
  <c r="U29" i="5" s="1"/>
  <c r="T28" i="5"/>
  <c r="T25" i="5"/>
  <c r="U25" i="5" s="1"/>
  <c r="T23" i="5"/>
  <c r="U23" i="5" s="1"/>
  <c r="T22" i="5"/>
  <c r="U22" i="5" s="1"/>
  <c r="T21" i="5"/>
  <c r="U21" i="5" s="1"/>
  <c r="T17" i="5"/>
  <c r="T16" i="5"/>
  <c r="U16" i="5" s="1"/>
  <c r="T15" i="5"/>
  <c r="U15" i="5" s="1"/>
  <c r="T14" i="5"/>
  <c r="U14" i="5" s="1"/>
  <c r="T13" i="5"/>
  <c r="U13" i="5" s="1"/>
  <c r="T12" i="5"/>
  <c r="U12" i="5" s="1"/>
  <c r="T11" i="5"/>
  <c r="T4" i="5"/>
  <c r="T3" i="5"/>
  <c r="U3" i="5" s="1"/>
  <c r="P45" i="5"/>
  <c r="Q45" i="5" s="1"/>
  <c r="P44" i="5"/>
  <c r="P40" i="5"/>
  <c r="Q40" i="5" s="1"/>
  <c r="P39" i="5"/>
  <c r="Q39" i="5" s="1"/>
  <c r="P38" i="5"/>
  <c r="Q38" i="5" s="1"/>
  <c r="P37" i="5"/>
  <c r="Q37" i="5" s="1"/>
  <c r="P36" i="5"/>
  <c r="P33" i="5"/>
  <c r="P32" i="5"/>
  <c r="Q32" i="5" s="1"/>
  <c r="P31" i="5"/>
  <c r="Q31" i="5" s="1"/>
  <c r="P30" i="5"/>
  <c r="P29" i="5"/>
  <c r="Q29" i="5" s="1"/>
  <c r="P28" i="5"/>
  <c r="P25" i="5"/>
  <c r="Q25" i="5" s="1"/>
  <c r="P23" i="5"/>
  <c r="Q23" i="5" s="1"/>
  <c r="P22" i="5"/>
  <c r="Q22" i="5" s="1"/>
  <c r="P21" i="5"/>
  <c r="Q21" i="5" s="1"/>
  <c r="P17" i="5"/>
  <c r="P16" i="5"/>
  <c r="Q16" i="5" s="1"/>
  <c r="P15" i="5"/>
  <c r="Q15" i="5" s="1"/>
  <c r="P14" i="5"/>
  <c r="Q14" i="5" s="1"/>
  <c r="P13" i="5"/>
  <c r="Q13" i="5" s="1"/>
  <c r="P12" i="5"/>
  <c r="Q12" i="5" s="1"/>
  <c r="P11" i="5"/>
  <c r="P4" i="5"/>
  <c r="P3" i="5"/>
  <c r="Q3" i="5" s="1"/>
  <c r="L45" i="5"/>
  <c r="M45" i="5" s="1"/>
  <c r="L44" i="5"/>
  <c r="L40" i="5"/>
  <c r="M40" i="5" s="1"/>
  <c r="L39" i="5"/>
  <c r="M39" i="5" s="1"/>
  <c r="L38" i="5"/>
  <c r="M38" i="5" s="1"/>
  <c r="L37" i="5"/>
  <c r="M37" i="5" s="1"/>
  <c r="L36" i="5"/>
  <c r="L33" i="5"/>
  <c r="L32" i="5"/>
  <c r="M32" i="5" s="1"/>
  <c r="L31" i="5"/>
  <c r="M31" i="5" s="1"/>
  <c r="L30" i="5"/>
  <c r="L29" i="5"/>
  <c r="M29" i="5" s="1"/>
  <c r="L28" i="5"/>
  <c r="L25" i="5"/>
  <c r="M25" i="5" s="1"/>
  <c r="L23" i="5"/>
  <c r="M23" i="5" s="1"/>
  <c r="L22" i="5"/>
  <c r="M22" i="5" s="1"/>
  <c r="L21" i="5"/>
  <c r="M21" i="5" s="1"/>
  <c r="L17" i="5"/>
  <c r="L16" i="5"/>
  <c r="M16" i="5" s="1"/>
  <c r="L15" i="5"/>
  <c r="M15" i="5" s="1"/>
  <c r="L14" i="5"/>
  <c r="M14" i="5" s="1"/>
  <c r="L13" i="5"/>
  <c r="M13" i="5" s="1"/>
  <c r="L12" i="5"/>
  <c r="M12" i="5" s="1"/>
  <c r="L11" i="5"/>
  <c r="L4" i="5"/>
  <c r="L3" i="5"/>
  <c r="H45" i="5"/>
  <c r="H44" i="5"/>
  <c r="H40" i="5"/>
  <c r="H39" i="5"/>
  <c r="H38" i="5"/>
  <c r="H37" i="5"/>
  <c r="H36" i="5"/>
  <c r="H33" i="5"/>
  <c r="H32" i="5"/>
  <c r="H31" i="5"/>
  <c r="H30" i="5"/>
  <c r="H29" i="5"/>
  <c r="H28" i="5"/>
  <c r="H25" i="5"/>
  <c r="H23" i="5"/>
  <c r="H22" i="5"/>
  <c r="H21" i="5"/>
  <c r="H14" i="5"/>
  <c r="H13" i="5"/>
  <c r="H12" i="5"/>
  <c r="H11" i="5"/>
  <c r="H4" i="5"/>
  <c r="H3" i="5"/>
  <c r="AE41" i="5" l="1"/>
  <c r="AE16" i="5"/>
  <c r="AF15" i="5"/>
  <c r="AG15" i="5" s="1"/>
  <c r="H15" i="5"/>
  <c r="I15" i="5" s="1"/>
  <c r="EA15" i="5"/>
  <c r="EB15" i="5" s="1"/>
  <c r="EC15" i="5" s="1"/>
  <c r="DU20" i="5"/>
  <c r="DU26" i="5" s="1"/>
  <c r="M9" i="5"/>
  <c r="EC9" i="5"/>
  <c r="M4" i="5"/>
  <c r="I22" i="5"/>
  <c r="I12" i="5"/>
  <c r="I13" i="5"/>
  <c r="I14" i="5"/>
  <c r="AR34" i="5"/>
  <c r="DD34" i="5"/>
  <c r="BX34" i="5"/>
  <c r="EA41" i="5"/>
  <c r="G41" i="5"/>
  <c r="AB34" i="5"/>
  <c r="L34" i="5"/>
  <c r="BT34" i="5"/>
  <c r="CZ34" i="5"/>
  <c r="P34" i="5"/>
  <c r="AF34" i="5"/>
  <c r="AV34" i="5"/>
  <c r="CF34" i="5"/>
  <c r="DH34" i="5"/>
  <c r="CB34" i="5"/>
  <c r="CJ34" i="5"/>
  <c r="DL34" i="5"/>
  <c r="T34" i="5"/>
  <c r="AJ34" i="5"/>
  <c r="AZ34" i="5"/>
  <c r="BH34" i="5"/>
  <c r="CN34" i="5"/>
  <c r="DP34" i="5"/>
  <c r="BL34" i="5"/>
  <c r="CR34" i="5"/>
  <c r="DT34" i="5"/>
  <c r="H34" i="5"/>
  <c r="X34" i="5"/>
  <c r="AN34" i="5"/>
  <c r="BD34" i="5"/>
  <c r="BP34" i="5"/>
  <c r="CV34" i="5"/>
  <c r="I9" i="5"/>
  <c r="G16" i="5"/>
  <c r="EA16" i="5" s="1"/>
  <c r="EB16" i="5" s="1"/>
  <c r="EC16" i="5" s="1"/>
  <c r="AW4" i="5"/>
  <c r="AV41" i="5"/>
  <c r="BE4" i="5"/>
  <c r="BD41" i="5"/>
  <c r="BI4" i="5"/>
  <c r="BH41" i="5"/>
  <c r="BM4" i="5"/>
  <c r="BL41" i="5"/>
  <c r="CS4" i="5"/>
  <c r="CR41" i="5"/>
  <c r="Q4" i="5"/>
  <c r="P41" i="5"/>
  <c r="Y4" i="5"/>
  <c r="X41" i="5"/>
  <c r="AF41" i="5"/>
  <c r="AO4" i="5"/>
  <c r="AN41" i="5"/>
  <c r="CO4" i="5"/>
  <c r="CN41" i="5"/>
  <c r="BQ4" i="5"/>
  <c r="BP41" i="5"/>
  <c r="CW4" i="5"/>
  <c r="CV41" i="5"/>
  <c r="BU4" i="5"/>
  <c r="BT41" i="5"/>
  <c r="DA4" i="5"/>
  <c r="CZ41" i="5"/>
  <c r="U4" i="5"/>
  <c r="T41" i="5"/>
  <c r="AC4" i="5"/>
  <c r="AB41" i="5"/>
  <c r="AK4" i="5"/>
  <c r="AJ41" i="5"/>
  <c r="AS4" i="5"/>
  <c r="AR41" i="5"/>
  <c r="BA4" i="5"/>
  <c r="AZ41" i="5"/>
  <c r="BY4" i="5"/>
  <c r="BX41" i="5"/>
  <c r="DE4" i="5"/>
  <c r="DD41" i="5"/>
  <c r="DM4" i="5"/>
  <c r="DL41" i="5"/>
  <c r="DI4" i="5"/>
  <c r="DH41" i="5"/>
  <c r="CC4" i="5"/>
  <c r="CB41" i="5"/>
  <c r="DQ4" i="5"/>
  <c r="DP41" i="5"/>
  <c r="CG4" i="5"/>
  <c r="CF41" i="5"/>
  <c r="DU4" i="5"/>
  <c r="DT41" i="5"/>
  <c r="CK4" i="5"/>
  <c r="CJ41" i="5"/>
  <c r="M3" i="5"/>
  <c r="L41" i="5"/>
  <c r="I4" i="5"/>
  <c r="H41" i="5"/>
  <c r="DL26" i="5"/>
  <c r="DQ26" i="5"/>
  <c r="BQ33" i="5"/>
  <c r="M33" i="5"/>
  <c r="Q33" i="5"/>
  <c r="U33" i="5"/>
  <c r="Y33" i="5"/>
  <c r="AC33" i="5"/>
  <c r="AK33" i="5"/>
  <c r="AO33" i="5"/>
  <c r="AS33" i="5"/>
  <c r="AW33" i="5"/>
  <c r="BA33" i="5"/>
  <c r="BE33" i="5"/>
  <c r="BI33" i="5"/>
  <c r="CO33" i="5"/>
  <c r="BM33" i="5"/>
  <c r="CW33" i="5"/>
  <c r="DI33" i="5"/>
  <c r="BU33" i="5"/>
  <c r="DA33" i="5"/>
  <c r="DM33" i="5"/>
  <c r="BY33" i="5"/>
  <c r="DE33" i="5"/>
  <c r="DQ33" i="5"/>
  <c r="CS33" i="5"/>
  <c r="CC33" i="5"/>
  <c r="DU33" i="5"/>
  <c r="CG33" i="5"/>
  <c r="CK33" i="5"/>
  <c r="H56" i="5"/>
  <c r="DH26" i="5"/>
  <c r="DZ56" i="5"/>
  <c r="U44" i="5"/>
  <c r="U56" i="5" s="1"/>
  <c r="T56" i="5"/>
  <c r="Y44" i="5"/>
  <c r="Y56" i="5" s="1"/>
  <c r="X56" i="5"/>
  <c r="AC44" i="5"/>
  <c r="AC56" i="5" s="1"/>
  <c r="AB56" i="5"/>
  <c r="BI44" i="5"/>
  <c r="BI56" i="5" s="1"/>
  <c r="BH56" i="5"/>
  <c r="CS44" i="5"/>
  <c r="CS56" i="5" s="1"/>
  <c r="CR56" i="5"/>
  <c r="BQ44" i="5"/>
  <c r="BQ56" i="5" s="1"/>
  <c r="BP56" i="5"/>
  <c r="CW44" i="5"/>
  <c r="CW56" i="5" s="1"/>
  <c r="CV56" i="5"/>
  <c r="DI44" i="5"/>
  <c r="DI56" i="5" s="1"/>
  <c r="DH56" i="5"/>
  <c r="AS44" i="5"/>
  <c r="AS56" i="5" s="1"/>
  <c r="AR56" i="5"/>
  <c r="BM44" i="5"/>
  <c r="BM56" i="5" s="1"/>
  <c r="BL56" i="5"/>
  <c r="BU44" i="5"/>
  <c r="BU56" i="5" s="1"/>
  <c r="BT56" i="5"/>
  <c r="DA44" i="5"/>
  <c r="DA56" i="5" s="1"/>
  <c r="CZ56" i="5"/>
  <c r="DM44" i="5"/>
  <c r="DM56" i="5" s="1"/>
  <c r="DL56" i="5"/>
  <c r="AG56" i="5"/>
  <c r="AF56" i="5"/>
  <c r="AO44" i="5"/>
  <c r="AO56" i="5" s="1"/>
  <c r="AN56" i="5"/>
  <c r="AW44" i="5"/>
  <c r="AW56" i="5" s="1"/>
  <c r="AV56" i="5"/>
  <c r="BA44" i="5"/>
  <c r="BA56" i="5" s="1"/>
  <c r="AZ56" i="5"/>
  <c r="BY44" i="5"/>
  <c r="BY56" i="5" s="1"/>
  <c r="BX56" i="5"/>
  <c r="DE44" i="5"/>
  <c r="DE56" i="5" s="1"/>
  <c r="DD56" i="5"/>
  <c r="DQ44" i="5"/>
  <c r="DQ56" i="5" s="1"/>
  <c r="DP56" i="5"/>
  <c r="M44" i="5"/>
  <c r="M56" i="5" s="1"/>
  <c r="L56" i="5"/>
  <c r="CO44" i="5"/>
  <c r="CO56" i="5" s="1"/>
  <c r="CN56" i="5"/>
  <c r="CC44" i="5"/>
  <c r="CC56" i="5" s="1"/>
  <c r="CB56" i="5"/>
  <c r="DU44" i="5"/>
  <c r="DU56" i="5" s="1"/>
  <c r="DT56" i="5"/>
  <c r="EA56" i="5"/>
  <c r="BE44" i="5"/>
  <c r="BE56" i="5" s="1"/>
  <c r="BD56" i="5"/>
  <c r="CG44" i="5"/>
  <c r="CG56" i="5" s="1"/>
  <c r="CF56" i="5"/>
  <c r="Q44" i="5"/>
  <c r="Q56" i="5" s="1"/>
  <c r="P56" i="5"/>
  <c r="AK44" i="5"/>
  <c r="AK56" i="5" s="1"/>
  <c r="AJ56" i="5"/>
  <c r="CK44" i="5"/>
  <c r="CK56" i="5" s="1"/>
  <c r="CJ56" i="5"/>
  <c r="BU36" i="5"/>
  <c r="BY36" i="5"/>
  <c r="CG36" i="5"/>
  <c r="DA36" i="5"/>
  <c r="M36" i="5"/>
  <c r="Q36" i="5"/>
  <c r="U36" i="5"/>
  <c r="AO36" i="5"/>
  <c r="AW36" i="5"/>
  <c r="BA36" i="5"/>
  <c r="BE36" i="5"/>
  <c r="CK36" i="5"/>
  <c r="DP26" i="5"/>
  <c r="DQ36" i="5"/>
  <c r="AS36" i="5"/>
  <c r="BI36" i="5"/>
  <c r="CO36" i="5"/>
  <c r="AC36" i="5"/>
  <c r="BM36" i="5"/>
  <c r="CS36" i="5"/>
  <c r="DI36" i="5"/>
  <c r="Y36" i="5"/>
  <c r="AK36" i="5"/>
  <c r="DE36" i="5"/>
  <c r="DU36" i="5"/>
  <c r="CC36" i="5"/>
  <c r="BQ36" i="5"/>
  <c r="CW36" i="5"/>
  <c r="DM36" i="5"/>
  <c r="BI17" i="5"/>
  <c r="DE28" i="5"/>
  <c r="BM17" i="5"/>
  <c r="M28" i="5"/>
  <c r="Q28" i="5"/>
  <c r="U28" i="5"/>
  <c r="Y28" i="5"/>
  <c r="AC28" i="5"/>
  <c r="AK28" i="5"/>
  <c r="AO28" i="5"/>
  <c r="AS28" i="5"/>
  <c r="AW28" i="5"/>
  <c r="BA28" i="5"/>
  <c r="BE28" i="5"/>
  <c r="CC11" i="5"/>
  <c r="CB19" i="5"/>
  <c r="CK17" i="5"/>
  <c r="BX26" i="5"/>
  <c r="DD26" i="5"/>
  <c r="CK26" i="5"/>
  <c r="BU28" i="5"/>
  <c r="DA28" i="5"/>
  <c r="DQ28" i="5"/>
  <c r="M17" i="5"/>
  <c r="Q17" i="5"/>
  <c r="AS17" i="5"/>
  <c r="BA17" i="5"/>
  <c r="BE17" i="5"/>
  <c r="CC28" i="5"/>
  <c r="DI17" i="5"/>
  <c r="I11" i="5"/>
  <c r="M11" i="5"/>
  <c r="L19" i="5"/>
  <c r="Q11" i="5"/>
  <c r="P19" i="5"/>
  <c r="U11" i="5"/>
  <c r="T19" i="5"/>
  <c r="Y11" i="5"/>
  <c r="X19" i="5"/>
  <c r="AC11" i="5"/>
  <c r="AB19" i="5"/>
  <c r="AK11" i="5"/>
  <c r="AJ19" i="5"/>
  <c r="AO11" i="5"/>
  <c r="AN19" i="5"/>
  <c r="AS11" i="5"/>
  <c r="AR19" i="5"/>
  <c r="AW11" i="5"/>
  <c r="AV19" i="5"/>
  <c r="BA11" i="5"/>
  <c r="AZ19" i="5"/>
  <c r="BE11" i="5"/>
  <c r="BD19" i="5"/>
  <c r="BI11" i="5"/>
  <c r="BH19" i="5"/>
  <c r="CO11" i="5"/>
  <c r="CN19" i="5"/>
  <c r="BQ17" i="5"/>
  <c r="CS17" i="5"/>
  <c r="CJ26" i="5"/>
  <c r="BQ26" i="5"/>
  <c r="CW26" i="5"/>
  <c r="CG28" i="5"/>
  <c r="DM11" i="5"/>
  <c r="DL19" i="5"/>
  <c r="DM17" i="5"/>
  <c r="U17" i="5"/>
  <c r="Y17" i="5"/>
  <c r="AO17" i="5"/>
  <c r="AW17" i="5"/>
  <c r="BM11" i="5"/>
  <c r="BL19" i="5"/>
  <c r="CS11" i="5"/>
  <c r="CR19" i="5"/>
  <c r="BU17" i="5"/>
  <c r="CW17" i="5"/>
  <c r="BU26" i="5"/>
  <c r="DA26" i="5"/>
  <c r="CK28" i="5"/>
  <c r="DQ11" i="5"/>
  <c r="DP19" i="5"/>
  <c r="DQ17" i="5"/>
  <c r="AC17" i="5"/>
  <c r="AK17" i="5"/>
  <c r="CO17" i="5"/>
  <c r="BY28" i="5"/>
  <c r="BQ11" i="5"/>
  <c r="BP19" i="5"/>
  <c r="CW11" i="5"/>
  <c r="CV19" i="5"/>
  <c r="BY17" i="5"/>
  <c r="DA17" i="5"/>
  <c r="BI28" i="5"/>
  <c r="CO28" i="5"/>
  <c r="DU11" i="5"/>
  <c r="DT19" i="5"/>
  <c r="DU17" i="5"/>
  <c r="CG11" i="5"/>
  <c r="CF19" i="5"/>
  <c r="DU28" i="5"/>
  <c r="CK11" i="5"/>
  <c r="CJ19" i="5"/>
  <c r="DI11" i="5"/>
  <c r="DH19" i="5"/>
  <c r="BU11" i="5"/>
  <c r="BT19" i="5"/>
  <c r="DA11" i="5"/>
  <c r="CZ19" i="5"/>
  <c r="CC17" i="5"/>
  <c r="DE17" i="5"/>
  <c r="BM28" i="5"/>
  <c r="CS28" i="5"/>
  <c r="DI28" i="5"/>
  <c r="BY11" i="5"/>
  <c r="BX19" i="5"/>
  <c r="DE11" i="5"/>
  <c r="DD19" i="5"/>
  <c r="CG17" i="5"/>
  <c r="BQ28" i="5"/>
  <c r="CW28" i="5"/>
  <c r="DM26" i="5"/>
  <c r="DM28" i="5"/>
  <c r="DZ19" i="5"/>
  <c r="M30" i="5"/>
  <c r="Q30" i="5"/>
  <c r="U30" i="5"/>
  <c r="X26" i="5"/>
  <c r="Y30" i="5"/>
  <c r="AC30" i="5"/>
  <c r="AK30" i="5"/>
  <c r="AO30" i="5"/>
  <c r="AS30" i="5"/>
  <c r="AV26" i="5"/>
  <c r="AZ26" i="5"/>
  <c r="BD26" i="5"/>
  <c r="M26" i="5"/>
  <c r="Q26" i="5"/>
  <c r="U26" i="5"/>
  <c r="Y26" i="5"/>
  <c r="AC26" i="5"/>
  <c r="AG26" i="5"/>
  <c r="AK26" i="5"/>
  <c r="AO26" i="5"/>
  <c r="AS26" i="5"/>
  <c r="AW26" i="5"/>
  <c r="BA26" i="5"/>
  <c r="BE26" i="5"/>
  <c r="CF26" i="5"/>
  <c r="BM26" i="5"/>
  <c r="CS26" i="5"/>
  <c r="BY30" i="5"/>
  <c r="DE30" i="5"/>
  <c r="BH26" i="5"/>
  <c r="CG30" i="5"/>
  <c r="BL26" i="5"/>
  <c r="CR26" i="5"/>
  <c r="BY26" i="5"/>
  <c r="DE26" i="5"/>
  <c r="CK30" i="5"/>
  <c r="DM30" i="5"/>
  <c r="CN26" i="5"/>
  <c r="DI30" i="5"/>
  <c r="BP26" i="5"/>
  <c r="CV26" i="5"/>
  <c r="CC26" i="5"/>
  <c r="BI30" i="5"/>
  <c r="CO30" i="5"/>
  <c r="DQ30" i="5"/>
  <c r="BT26" i="5"/>
  <c r="CZ26" i="5"/>
  <c r="CG26" i="5"/>
  <c r="BM30" i="5"/>
  <c r="CS30" i="5"/>
  <c r="DT26" i="5"/>
  <c r="DU30" i="5"/>
  <c r="BQ30" i="5"/>
  <c r="CW30" i="5"/>
  <c r="DI26" i="5"/>
  <c r="DZ26" i="5"/>
  <c r="CC30" i="5"/>
  <c r="H26" i="5"/>
  <c r="L26" i="5"/>
  <c r="P26" i="5"/>
  <c r="T26" i="5"/>
  <c r="AB26" i="5"/>
  <c r="AF26" i="5"/>
  <c r="AJ26" i="5"/>
  <c r="AN26" i="5"/>
  <c r="AR26" i="5"/>
  <c r="AW30" i="5"/>
  <c r="BA30" i="5"/>
  <c r="BE30" i="5"/>
  <c r="CB26" i="5"/>
  <c r="BI26" i="5"/>
  <c r="CO26" i="5"/>
  <c r="BU30" i="5"/>
  <c r="DA30" i="5"/>
  <c r="EA26" i="5"/>
  <c r="I45" i="5"/>
  <c r="I44" i="5"/>
  <c r="AE17" i="5" l="1"/>
  <c r="AF16" i="5"/>
  <c r="EC56" i="5"/>
  <c r="DQ41" i="5"/>
  <c r="BI34" i="5"/>
  <c r="DU41" i="5"/>
  <c r="DE41" i="5"/>
  <c r="BY34" i="5"/>
  <c r="BQ41" i="5"/>
  <c r="CC34" i="5"/>
  <c r="CS34" i="5"/>
  <c r="AK41" i="5"/>
  <c r="AO41" i="5"/>
  <c r="CO34" i="5"/>
  <c r="CG34" i="5"/>
  <c r="AK34" i="5"/>
  <c r="Y34" i="5"/>
  <c r="Q41" i="5"/>
  <c r="AG34" i="5"/>
  <c r="EB34" i="5"/>
  <c r="DU34" i="5"/>
  <c r="DQ34" i="5"/>
  <c r="AW41" i="5"/>
  <c r="DE34" i="5"/>
  <c r="DA34" i="5"/>
  <c r="BE34" i="5"/>
  <c r="AC34" i="5"/>
  <c r="AC41" i="5"/>
  <c r="DM34" i="5"/>
  <c r="BU34" i="5"/>
  <c r="BA34" i="5"/>
  <c r="DI34" i="5"/>
  <c r="AW34" i="5"/>
  <c r="U34" i="5"/>
  <c r="Y41" i="5"/>
  <c r="CW34" i="5"/>
  <c r="AS34" i="5"/>
  <c r="Q34" i="5"/>
  <c r="BQ34" i="5"/>
  <c r="BM34" i="5"/>
  <c r="CK34" i="5"/>
  <c r="AO34" i="5"/>
  <c r="M34" i="5"/>
  <c r="DA41" i="5"/>
  <c r="CS41" i="5"/>
  <c r="AS19" i="5"/>
  <c r="BM41" i="5"/>
  <c r="DI41" i="5"/>
  <c r="BI41" i="5"/>
  <c r="G17" i="5"/>
  <c r="EA17" i="5" s="1"/>
  <c r="EB17" i="5" s="1"/>
  <c r="EC17" i="5" s="1"/>
  <c r="H16" i="5"/>
  <c r="CK41" i="5"/>
  <c r="CO41" i="5"/>
  <c r="BU41" i="5"/>
  <c r="AS41" i="5"/>
  <c r="CG41" i="5"/>
  <c r="AG41" i="5"/>
  <c r="BE41" i="5"/>
  <c r="BY41" i="5"/>
  <c r="CW41" i="5"/>
  <c r="BA41" i="5"/>
  <c r="CC41" i="5"/>
  <c r="U41" i="5"/>
  <c r="DM41" i="5"/>
  <c r="EB41" i="5"/>
  <c r="M41" i="5"/>
  <c r="Y19" i="5"/>
  <c r="I56" i="5"/>
  <c r="EB56" i="5"/>
  <c r="Q19" i="5"/>
  <c r="DE19" i="5"/>
  <c r="BQ19" i="5"/>
  <c r="CO19" i="5"/>
  <c r="DI19" i="5"/>
  <c r="BI19" i="5"/>
  <c r="AC19" i="5"/>
  <c r="M19" i="5"/>
  <c r="CK19" i="5"/>
  <c r="BY19" i="5"/>
  <c r="BU19" i="5"/>
  <c r="CW19" i="5"/>
  <c r="CS19" i="5"/>
  <c r="AW19" i="5"/>
  <c r="DA19" i="5"/>
  <c r="DQ19" i="5"/>
  <c r="BE19" i="5"/>
  <c r="AO19" i="5"/>
  <c r="CG19" i="5"/>
  <c r="BM19" i="5"/>
  <c r="CC19" i="5"/>
  <c r="DU19" i="5"/>
  <c r="DM19" i="5"/>
  <c r="BA19" i="5"/>
  <c r="AK19" i="5"/>
  <c r="U19" i="5"/>
  <c r="EB26" i="5"/>
  <c r="AG16" i="5" l="1"/>
  <c r="AF17" i="5"/>
  <c r="AG17" i="5" s="1"/>
  <c r="AE19" i="5"/>
  <c r="H17" i="5"/>
  <c r="G19" i="5"/>
  <c r="I16" i="5"/>
  <c r="I36" i="5"/>
  <c r="I37" i="5"/>
  <c r="I38" i="5"/>
  <c r="I3" i="5"/>
  <c r="I28" i="5"/>
  <c r="I30" i="5"/>
  <c r="I32" i="5"/>
  <c r="I39" i="5"/>
  <c r="I33" i="5"/>
  <c r="I29" i="5"/>
  <c r="I21" i="5"/>
  <c r="I31" i="5"/>
  <c r="I23" i="5"/>
  <c r="I25" i="5"/>
  <c r="I40" i="5"/>
  <c r="AF19" i="5" l="1"/>
  <c r="AG19" i="5"/>
  <c r="EC26" i="5"/>
  <c r="I17" i="5"/>
  <c r="I19" i="5" s="1"/>
  <c r="EB19" i="5"/>
  <c r="I34" i="5"/>
  <c r="H19" i="5"/>
  <c r="EA19" i="5"/>
  <c r="EC19" i="5"/>
  <c r="EC34" i="5"/>
  <c r="I41" i="5"/>
  <c r="I26" i="5"/>
  <c r="EC41" i="5" l="1"/>
</calcChain>
</file>

<file path=xl/sharedStrings.xml><?xml version="1.0" encoding="utf-8"?>
<sst xmlns="http://schemas.openxmlformats.org/spreadsheetml/2006/main" count="540" uniqueCount="349">
  <si>
    <t>Feeder Description</t>
  </si>
  <si>
    <t>Total</t>
  </si>
  <si>
    <t>Q3_PCC1.4F4_Office_Panel</t>
  </si>
  <si>
    <t>Q3_PCC1.5F2_PDB1_Main_RPDB</t>
  </si>
  <si>
    <t>Q3_PCC1.5F1_SPARE1</t>
  </si>
  <si>
    <t>Q3_PCC1.5F3_SPARE2</t>
  </si>
  <si>
    <t>Q3_PCC1.5F4_SPARE3</t>
  </si>
  <si>
    <t>Q3_PCC1.6F3_PDB4</t>
  </si>
  <si>
    <t>Q3_PCC1.6F4_MLDB</t>
  </si>
  <si>
    <t>Q3_PCC1.7F3_Server_Room</t>
  </si>
  <si>
    <t>Q3_PCC1.4F1_STP</t>
  </si>
  <si>
    <t>Q3_PCC1.6F2_SPARE4</t>
  </si>
  <si>
    <t>Q3_Tech.1F2_UPS_Incomer_DB3</t>
  </si>
  <si>
    <t>Q3_Tech.1F1_UPS1</t>
  </si>
  <si>
    <t>Q3_Tech.1F2_UPS2</t>
  </si>
  <si>
    <t>Q3_Tech.1F3_UPS3</t>
  </si>
  <si>
    <t>Q3_Tech.1F5_UPS_Incomer_DB1</t>
  </si>
  <si>
    <t>Q3_Tech.2F1_LGF_LTG_27A</t>
  </si>
  <si>
    <t>Q3_Tech.2F2_UGF_LTG_27A</t>
  </si>
  <si>
    <t>Q3_Tech.2F3_SPARE1</t>
  </si>
  <si>
    <t>Q3_Tech.2F4_SPARE2</t>
  </si>
  <si>
    <t>Q3_Tech.2F5_UPS_Incomer_DB3</t>
  </si>
  <si>
    <t>Q3_Tech.1F2_PDB1_Main_RPDB</t>
  </si>
  <si>
    <t>Q3_Tech.1F6_PDB2</t>
  </si>
  <si>
    <t>Q3_Tech.1F2_MLDB_MEZZ1_Technic_RM</t>
  </si>
  <si>
    <t>Q3_Tech.2F3_MLDB1</t>
  </si>
  <si>
    <t>Q3_Tech.1F2_PDB3_HVAC_Panel</t>
  </si>
  <si>
    <t>Q3_Office.1F2_Office_Panel_IC</t>
  </si>
  <si>
    <t>Q3_Office.2F3_Incomer_for_RPDBS</t>
  </si>
  <si>
    <t>Q3_Office.3F5_MZZ2_Office_Area</t>
  </si>
  <si>
    <t>Q3_Office.3F4_MZZ1_Office_Area</t>
  </si>
  <si>
    <t>Q3_Office.4F2_SPARE1</t>
  </si>
  <si>
    <t>Q3_Office.4F3_UPS_40KW</t>
  </si>
  <si>
    <t>Q3_Office.4F4_SPARE2</t>
  </si>
  <si>
    <t>Q3_Office.4F5_SPARE3</t>
  </si>
  <si>
    <t>Q3_Office.3F1_Incomer_for_LDBS</t>
  </si>
  <si>
    <t>Q3_Office.3F2_Lift</t>
  </si>
  <si>
    <t>Q3_Office.3F3_LGF_Office</t>
  </si>
  <si>
    <t>Sr No</t>
  </si>
  <si>
    <t>ION.7650</t>
  </si>
  <si>
    <t>PH2_Utility.1F2_Incomer_Panel</t>
  </si>
  <si>
    <t>PH2_Utility.2F1_Security_Cabin3</t>
  </si>
  <si>
    <t>PH2_Utility.2F2_Security_Cabin4</t>
  </si>
  <si>
    <t>PH2_Utility.2F3_Security_Cabin5</t>
  </si>
  <si>
    <t>PH2_Utility.2F4_SPARE1</t>
  </si>
  <si>
    <t>PH2_Utility.2F5_MDB4</t>
  </si>
  <si>
    <t>PH2_Utility.2F6_SPARE2</t>
  </si>
  <si>
    <t>SourceID for KVA Demand</t>
  </si>
  <si>
    <t xml:space="preserve">Source ID for Avg KVA </t>
  </si>
  <si>
    <t>Q3_PCC1.7F4_PH_II_Utility_Panel</t>
  </si>
  <si>
    <t>WHP_PCC1.1F3_PCC1_IC</t>
  </si>
  <si>
    <t>WHP_PCC1.2F3_PCC2</t>
  </si>
  <si>
    <t>WHP_PCC1.2F4_HVAC</t>
  </si>
  <si>
    <t>WHP_PCC1.3F3_FIRE_FTG</t>
  </si>
  <si>
    <t>WHP_PCC1.3F4_SPARE</t>
  </si>
  <si>
    <t>WHP_PCC2.1F2_PCC2_IC</t>
  </si>
  <si>
    <t>WHP_PCC2.1F5_MLDB1</t>
  </si>
  <si>
    <t>WHP_PCC2.1F6_UPS_IC</t>
  </si>
  <si>
    <t>WHP_PCC2.2F7_MLDB2</t>
  </si>
  <si>
    <t>WHP_PCC2.2F8_MRPDB</t>
  </si>
  <si>
    <t>WHP_PCC2.3F8_SPARE</t>
  </si>
  <si>
    <t>WHP_UPS_OG.1F1_IC1_UPS1</t>
  </si>
  <si>
    <t>WHP_UPS_OG.1F2_IC2_UPS2</t>
  </si>
  <si>
    <t>WHP_UPS_OG.1F3_IC3_UPS3</t>
  </si>
  <si>
    <t>WHP_UPS_IC.1F2_UPS_IC</t>
  </si>
  <si>
    <t>WHP_MELDB_1.1F2_IC_MELDB1</t>
  </si>
  <si>
    <t>WHP_MLDB1.1F1_IC_MLDB1</t>
  </si>
  <si>
    <t>WHP_MRPDB.1F2_IC_MRPDB</t>
  </si>
  <si>
    <t>WHP_HVAC.1F2_IC_HVAC</t>
  </si>
  <si>
    <t>KIOSK.QIII_RMU</t>
  </si>
  <si>
    <t>KIOSK.QI_QII_RMU</t>
  </si>
  <si>
    <t>KIOSK.PS_RMU</t>
  </si>
  <si>
    <t>Management Console Name</t>
  </si>
  <si>
    <t>Customer Name</t>
  </si>
  <si>
    <t>M_MPDP03.Incomer</t>
  </si>
  <si>
    <t>C_Clean_Room_Panel.Spare2</t>
  </si>
  <si>
    <t>C_Clean_Room_Panel.DU_Line_MP2</t>
  </si>
  <si>
    <t>M_MPDP03.Sigiya1</t>
  </si>
  <si>
    <t>M_MPDP04.Laser_Nozzleline</t>
  </si>
  <si>
    <t>A_AHU.3_Panel_Incomer</t>
  </si>
  <si>
    <t>C_HVAC_Panel_CR.Incomer</t>
  </si>
  <si>
    <t>M_MPDP04.Sonplas1</t>
  </si>
  <si>
    <t>M_MPDP04.Flow_Checking_MC3</t>
  </si>
  <si>
    <t>M_MPDP06.Spare2</t>
  </si>
  <si>
    <t>M_UPS_MDB1.Incomer</t>
  </si>
  <si>
    <t>M_MPDP05.Incomer</t>
  </si>
  <si>
    <t>M_MPDP04.Abrasive_Flow_MC2</t>
  </si>
  <si>
    <t>A_MPDB03.Incomer</t>
  </si>
  <si>
    <t>M_MPDP05.Spare5</t>
  </si>
  <si>
    <t>M_MPDP05.CMT_Machine</t>
  </si>
  <si>
    <t>M_MPDP03.Spare1</t>
  </si>
  <si>
    <t>M_MPDP03.Grinding4</t>
  </si>
  <si>
    <t>M_MPDP06.Spare1</t>
  </si>
  <si>
    <t>M_UPS_MDB2.Spare2</t>
  </si>
  <si>
    <t>M_MPDP06.Washing_MC_RL</t>
  </si>
  <si>
    <t>M_UPS_MDB2.Incomer</t>
  </si>
  <si>
    <t>M_MPDP04.Abrasive_Flow_MC1</t>
  </si>
  <si>
    <t>M_EDM_MC_Panel.EDM_MC5</t>
  </si>
  <si>
    <t>C_Clean_Room_Panel.DU_Line_MP1</t>
  </si>
  <si>
    <t>A_AHU.2_Panel_Incomer</t>
  </si>
  <si>
    <t>C_Clean_Room_Panel.SU_Line_MP</t>
  </si>
  <si>
    <t>M_MPDP04.Sleeve_Id_Grinding_1</t>
  </si>
  <si>
    <t>M_MPDP04.Spare8</t>
  </si>
  <si>
    <t>A_Injector_Line.Panel02</t>
  </si>
  <si>
    <t>A_Pump_Line.HPP</t>
  </si>
  <si>
    <t>M_MPDP03.Sigiya2</t>
  </si>
  <si>
    <t>A_Injector_Line.Panel01</t>
  </si>
  <si>
    <t>A_MPDB02.Incomer</t>
  </si>
  <si>
    <t>A_Non_Clean_HVAC.Incomer</t>
  </si>
  <si>
    <t>C_Clean_Room_Panel.SU_Line_OP_110</t>
  </si>
  <si>
    <t>M_MPDP04.Spare7</t>
  </si>
  <si>
    <t>M_MPDP03.Washing_Machine</t>
  </si>
  <si>
    <t>C_Clean_Room_Panel.Compact_80C_Durr2</t>
  </si>
  <si>
    <t>A_Dozzer_Panel.Incomer</t>
  </si>
  <si>
    <t>M_EDM_MC_Panel.EDM_MC3</t>
  </si>
  <si>
    <t>M_EDM_MC_Panel.EDM_MC2</t>
  </si>
  <si>
    <t>M_EDM_MC_Panel.EDM_MC4</t>
  </si>
  <si>
    <t>M_UPS_MDB2.Spare1</t>
  </si>
  <si>
    <t>M_MPDP04.Flow_Checking_MC4</t>
  </si>
  <si>
    <t>M_UPS_MDB2.UVA1_1D_Grinding</t>
  </si>
  <si>
    <t>M_MPDP04.Sonplas2</t>
  </si>
  <si>
    <t>M_UPS_MDB2.UVA2_1D_Grinding</t>
  </si>
  <si>
    <t>M_EDM_MC_Panel.Gauges_UPS_DB</t>
  </si>
  <si>
    <t>A_Pump_Line.LPP</t>
  </si>
  <si>
    <t>C_AHU_Panel.Incomer</t>
  </si>
  <si>
    <t>M_MPDP03.Grinding3</t>
  </si>
  <si>
    <t>Compressor.Incomer</t>
  </si>
  <si>
    <t>M_MPDP03.Spare2</t>
  </si>
  <si>
    <t>M_MPDP03.Laser_Needleline</t>
  </si>
  <si>
    <t>M_MPDP03.Spare3</t>
  </si>
  <si>
    <t>M_MPDP03.Spare4</t>
  </si>
  <si>
    <t>M_MPDP03.Grinding5</t>
  </si>
  <si>
    <t>M_MPDP03.Grinding6</t>
  </si>
  <si>
    <t>M_MPDP04.Incomer</t>
  </si>
  <si>
    <t>M_MPDP05.OD_Grinding1</t>
  </si>
  <si>
    <t>M_MPDP04.Spare5</t>
  </si>
  <si>
    <t>M_MPDP04.Spare6</t>
  </si>
  <si>
    <t>M_MPDP06.Incomer</t>
  </si>
  <si>
    <t>M_MPDP06.AFM_MC_Chiller</t>
  </si>
  <si>
    <t>M_MPDP06.Kardex_RPDB</t>
  </si>
  <si>
    <t>M_MPDP06.Spare3</t>
  </si>
  <si>
    <t>M_MPDP06.Nakamura_01</t>
  </si>
  <si>
    <t>M_MPDP06.Nakamura_02</t>
  </si>
  <si>
    <t>M_MPDP06.Nozzle_Seal_ID1</t>
  </si>
  <si>
    <t>C_HVLS_Panel.Incomer</t>
  </si>
  <si>
    <t>M_MPDB.Incomer</t>
  </si>
  <si>
    <t>M_MDB2.Incomer</t>
  </si>
  <si>
    <t>M_MLDB.Incomer</t>
  </si>
  <si>
    <t>M_HVLS_Fan_Panel1.Incomer</t>
  </si>
  <si>
    <t>M_EDM_MC_Panel.Incomer</t>
  </si>
  <si>
    <t>M_EDM_MC_Panel.Spare3</t>
  </si>
  <si>
    <t>M_EDM_MC_Panel.EDM_MC1</t>
  </si>
  <si>
    <t>M_EDM_MC_Panel.Spare4</t>
  </si>
  <si>
    <t>M_Main_HVAC_Panel.AHU_03</t>
  </si>
  <si>
    <t>M_MPDP05.Spare6</t>
  </si>
  <si>
    <t>M_MPDP05.Demagnetizer</t>
  </si>
  <si>
    <t>M_MPDP05.Washing_MC_Nozzle</t>
  </si>
  <si>
    <t>M_MPDP05.Spare7</t>
  </si>
  <si>
    <t>M_MPDP05.Admin_Office_HVAC</t>
  </si>
  <si>
    <t>M_MPDP05.Seat_ID_Facegrinding1</t>
  </si>
  <si>
    <t>M_UPS_Panel.Incomer</t>
  </si>
  <si>
    <t>Utility_Panel.Scrap_Yard</t>
  </si>
  <si>
    <t>Utility_Panel.STP</t>
  </si>
  <si>
    <t>Utility_Panel.Compressor</t>
  </si>
  <si>
    <t>Compressor.1</t>
  </si>
  <si>
    <t>Compressor.2</t>
  </si>
  <si>
    <t>Compressor.3</t>
  </si>
  <si>
    <t>A_PDB01.Incomer</t>
  </si>
  <si>
    <t>A_MPDB01.Incomer</t>
  </si>
  <si>
    <t>A_Pump_Panel.Incomer</t>
  </si>
  <si>
    <t>A_Clean_Room_HVAC.Incomer</t>
  </si>
  <si>
    <t>A_Clean_Room_HVAC.Chiller2</t>
  </si>
  <si>
    <t>A_Clean_Room_HVAC.Chiller3</t>
  </si>
  <si>
    <t>M_Main_HVAC_Panel.Incomer</t>
  </si>
  <si>
    <t>C_Clean_Room_Panel.Incomer</t>
  </si>
  <si>
    <t>C_Clean_Room_Panel.Spare1</t>
  </si>
  <si>
    <t>C_Clean_Room_Panel.Compact_80C_Durr1</t>
  </si>
  <si>
    <t>C_Clean_Room_Panel.DU_Line_MP3</t>
  </si>
  <si>
    <t>A_Injector_Line.Panel03</t>
  </si>
  <si>
    <t>A_AHU.1_Panel_Incomer</t>
  </si>
  <si>
    <t>A_DHU.Panel01</t>
  </si>
  <si>
    <t>A_DHU.Panel02</t>
  </si>
  <si>
    <t>A_DHU.Panel03</t>
  </si>
  <si>
    <t>C_HVAC_Panel_CR.AHU_Panel</t>
  </si>
  <si>
    <t>C_HVAC_Panel_CR.Chiller1</t>
  </si>
  <si>
    <t>C_HVAC_Panel_CR.Chiller2</t>
  </si>
  <si>
    <t>C_HVAC_Panel_CR.Spare3</t>
  </si>
  <si>
    <t>C_HVAC_Panel_CR.Spare4</t>
  </si>
  <si>
    <t>C_HVAC_Panel_CR.Pump_Panel</t>
  </si>
  <si>
    <t>C_MDB1.Incomer</t>
  </si>
  <si>
    <t>C_MPDP01.Incomer</t>
  </si>
  <si>
    <t>C_MPDP01.Spare1</t>
  </si>
  <si>
    <t>C_MPDP01.Spare2</t>
  </si>
  <si>
    <t>C_MPDP01.Spare3</t>
  </si>
  <si>
    <t>C_MPDP01.Spare4</t>
  </si>
  <si>
    <t>C_MPDP01.Welding_Machine1</t>
  </si>
  <si>
    <t>C_MPDP01.EGP_Assembly1</t>
  </si>
  <si>
    <t>C_MPDP01.Spare5</t>
  </si>
  <si>
    <t>C_MPDP01.Laser_Marking</t>
  </si>
  <si>
    <t>C_MPDP01.Welding_Machine2</t>
  </si>
  <si>
    <t>C_MPDP01.EGP_Assembly2</t>
  </si>
  <si>
    <t>C_MPDP01.EGP_Assembly3</t>
  </si>
  <si>
    <t>C_MPDP01.Welding_Machine3</t>
  </si>
  <si>
    <t>C_MPDP02.Incomer</t>
  </si>
  <si>
    <t>C_MPDP02.Spare6</t>
  </si>
  <si>
    <t>C_MPDP02.Spare7</t>
  </si>
  <si>
    <t>C_MPDP02.Spare8</t>
  </si>
  <si>
    <t>C_MPDP02.Spare9</t>
  </si>
  <si>
    <t>C_MPDP02.Bracket_Assembly1</t>
  </si>
  <si>
    <t>C_MPDP02.Bracket_Assembly2</t>
  </si>
  <si>
    <t>C_MPDP02.Bracket_Assembly3</t>
  </si>
  <si>
    <t>C_MPDP02.Bracket_Assembly4</t>
  </si>
  <si>
    <t>A_Non_Clean_HVAC.Chiller01</t>
  </si>
  <si>
    <t>M_Main_HVAC_Panel.AHU_02</t>
  </si>
  <si>
    <t>M_Main_HVAC_Panel.AHU_01</t>
  </si>
  <si>
    <t>Compressor.Spare</t>
  </si>
  <si>
    <t>M_UPS_Panel.Incomer2</t>
  </si>
  <si>
    <t>LT_Room.Main_Incomer</t>
  </si>
  <si>
    <t>LT_Room.LT_Panel_Main_Incomer</t>
  </si>
  <si>
    <t>LT_Room.Shop_Floor_and_Utility_Lighting</t>
  </si>
  <si>
    <t>LT_Room.Shaft</t>
  </si>
  <si>
    <t>LT_Room.Transmission_Flange</t>
  </si>
  <si>
    <t>LT_Room.APFC_Incomer</t>
  </si>
  <si>
    <t>LT_Room.Wheel_Flange</t>
  </si>
  <si>
    <t>LT_Room.Office_Building</t>
  </si>
  <si>
    <t>LT_Room.Shaft_EFD</t>
  </si>
  <si>
    <t>LT_Room.Flange_Line_EFD</t>
  </si>
  <si>
    <t>LT_Room.Fire_Hydrant</t>
  </si>
  <si>
    <t>LT_Room.Lighting_DB</t>
  </si>
  <si>
    <t>LT_Room.Utility_Incomer</t>
  </si>
  <si>
    <t>LT_Room.Cooling_Tower</t>
  </si>
  <si>
    <t>LT_Room.Shop_Floor_Office_Lighting_AC</t>
  </si>
  <si>
    <t>LT_Room.Compressor_75KW</t>
  </si>
  <si>
    <t>LT_Room.Compressor_55KW</t>
  </si>
  <si>
    <t>LT_Room.HTP</t>
  </si>
  <si>
    <t>LT_Room.ETP</t>
  </si>
  <si>
    <t>Shaft.Shaft_Incomer</t>
  </si>
  <si>
    <t>Shaft.Shaft_Uno_1</t>
  </si>
  <si>
    <t>Shaft.Shaft_Uno_2</t>
  </si>
  <si>
    <t>Shaft.Rolling</t>
  </si>
  <si>
    <t>Shaft.Robot_892</t>
  </si>
  <si>
    <t>Shaft.Washing_Machine</t>
  </si>
  <si>
    <t>Shaft.Robot_891</t>
  </si>
  <si>
    <t>Shaft.Shaft_MPI</t>
  </si>
  <si>
    <t>Shaft.Shaft_Assembly</t>
  </si>
  <si>
    <t>Spider.Spider_Incomer</t>
  </si>
  <si>
    <t>Spider.Spider_Gantry</t>
  </si>
  <si>
    <t>Spider.Turning</t>
  </si>
  <si>
    <t>Spider.Broching</t>
  </si>
  <si>
    <t>Spider.Centerless_Grinding</t>
  </si>
  <si>
    <t>Spider.Smarter</t>
  </si>
  <si>
    <t>Wheel_Flange.Wheel_Flange_Incomer</t>
  </si>
  <si>
    <t>Wheel_Flange.Thread_Rolling</t>
  </si>
  <si>
    <t>Wheel_Flange.Robot_893</t>
  </si>
  <si>
    <t>Wheel_Flange.OD_Griding</t>
  </si>
  <si>
    <t>Wheel_Flange.Gantry</t>
  </si>
  <si>
    <t>Wheel_Flange.Rolling</t>
  </si>
  <si>
    <t>Wheel_Flange.Keyway_Milling</t>
  </si>
  <si>
    <t>Wheel_Flange.Robot_894</t>
  </si>
  <si>
    <t>Wheel_Flange.Turning</t>
  </si>
  <si>
    <t>Transmission_Flange.Transmission_Flange_Incomer</t>
  </si>
  <si>
    <t>Transmission_Flange.Turning_Machine</t>
  </si>
  <si>
    <t>Transmission_Flange.Gantry</t>
  </si>
  <si>
    <t>Transmission_Flange.Smarter</t>
  </si>
  <si>
    <t>Transmission_Flange.MPI</t>
  </si>
  <si>
    <t>Transmission_Flange.UPS_R_and_D_Building</t>
  </si>
  <si>
    <t>Transmission_Flange.Gainding_Machine</t>
  </si>
  <si>
    <t>Transmission_Flange.Broching_Machine</t>
  </si>
  <si>
    <t>Power_DB.Power_DB_Incomer</t>
  </si>
  <si>
    <t>Transmission_Flange.Final_Washing_Machine</t>
  </si>
  <si>
    <t>Power_DB.ToolRoom_Store_DB_Box</t>
  </si>
  <si>
    <t>Power_DB.Security_Gate</t>
  </si>
  <si>
    <t>Spare-1</t>
  </si>
  <si>
    <t>Spare-2</t>
  </si>
  <si>
    <t>Spare-3</t>
  </si>
  <si>
    <t>Spare-4</t>
  </si>
  <si>
    <t>Spare-5</t>
  </si>
  <si>
    <t>Group</t>
  </si>
  <si>
    <t>Shaft Line</t>
  </si>
  <si>
    <t>Spider Line</t>
  </si>
  <si>
    <t>Wheel Flange Line</t>
  </si>
  <si>
    <t>Transimission  Line</t>
  </si>
  <si>
    <t xml:space="preserve">Main Assembly line </t>
  </si>
  <si>
    <t>LT ROOM FLANGE EFD</t>
  </si>
  <si>
    <t>LT ROOM COMPRESSOR 75 KW</t>
  </si>
  <si>
    <t>LT ROOM COMPRESSOR 55 KW</t>
  </si>
  <si>
    <t>SHAFT UNO CNC 1</t>
  </si>
  <si>
    <t>SHAFT UNO CNC 2</t>
  </si>
  <si>
    <t>SHAFT ROBO 892</t>
  </si>
  <si>
    <t>SHAFT WASHING MACHINE</t>
  </si>
  <si>
    <t>SHAFT ROBO 891</t>
  </si>
  <si>
    <t>SHAFT MPI</t>
  </si>
  <si>
    <t>ASSEMBLY LINE</t>
  </si>
  <si>
    <t xml:space="preserve">SPIDER BROACHING </t>
  </si>
  <si>
    <t>SPIDER TURNING SMARTER</t>
  </si>
  <si>
    <t>WHEEL FLANGE THREAD ROLLING</t>
  </si>
  <si>
    <t>WHEEL FLANGE OD GRINDING</t>
  </si>
  <si>
    <t>WHEEL FLANGE GANTRY</t>
  </si>
  <si>
    <t>WHEEL FLANGE SPLINE ROLLING</t>
  </si>
  <si>
    <t>WHEEL FLANGE KEYWAY MACHINE</t>
  </si>
  <si>
    <t>WHEEL FLANGE TURNING TT</t>
  </si>
  <si>
    <t>TF TURNING TT</t>
  </si>
  <si>
    <t>TF TURNING SMARTER</t>
  </si>
  <si>
    <t>TF GANTRY</t>
  </si>
  <si>
    <t>TF MPI</t>
  </si>
  <si>
    <t>TF BROACHING MACHINE</t>
  </si>
  <si>
    <t>TF  WASHING MACHINE</t>
  </si>
  <si>
    <t>WHEEL FLANGE ROBO 894</t>
  </si>
  <si>
    <t>WHEEL FLANGE ROBO 893</t>
  </si>
  <si>
    <t>LT ROOM COOLING TOWER</t>
  </si>
  <si>
    <t>LT ROOM FIRE HYDRANT</t>
  </si>
  <si>
    <t>LT ROOM HTP</t>
  </si>
  <si>
    <t>LT ROOM ETP</t>
  </si>
  <si>
    <t>POWER DB SECURITY GATE</t>
  </si>
  <si>
    <t>UTILITY</t>
  </si>
  <si>
    <t>SPIDER GANTRY</t>
  </si>
  <si>
    <t>LT ROOM LIGHTNING DB</t>
  </si>
  <si>
    <t>LT EOOM UTILITY INCOMER</t>
  </si>
  <si>
    <t>LT ROOM  SHOP FLOOR OFFICE LIGHTNING AC</t>
  </si>
  <si>
    <t>POWER DB POWER DB INCOMER</t>
  </si>
  <si>
    <t>POWER DB TOOLROOM STORE DB BOX</t>
  </si>
  <si>
    <t>LT ROOM APFC PANNEL</t>
  </si>
  <si>
    <t xml:space="preserve">LT ROOM   SHAFT   EFD </t>
  </si>
  <si>
    <t>SPIDER TURNING TT</t>
  </si>
  <si>
    <t xml:space="preserve">TF OD GRINDING </t>
  </si>
  <si>
    <t>Cost/ Pc</t>
  </si>
  <si>
    <t>KWH\ Pc</t>
  </si>
  <si>
    <t>KWH</t>
  </si>
  <si>
    <t>Prod.</t>
  </si>
  <si>
    <t>Total Shaft</t>
  </si>
  <si>
    <t>Total Spider</t>
  </si>
  <si>
    <t>Total Wheeel Flange</t>
  </si>
  <si>
    <t>Total TF</t>
  </si>
  <si>
    <t>Total Utility</t>
  </si>
  <si>
    <t>Total ASSY</t>
  </si>
  <si>
    <t>Total OD Grinding</t>
  </si>
  <si>
    <t>SHAFT CNC</t>
  </si>
  <si>
    <t xml:space="preserve">SHAFT   EFD </t>
  </si>
  <si>
    <t>FLANGE EFD</t>
  </si>
  <si>
    <t xml:space="preserve">SPIDER TURNING </t>
  </si>
  <si>
    <t xml:space="preserve">WHEEL FLANGE TURNING </t>
  </si>
  <si>
    <t>TORAL CONSUMPTION</t>
  </si>
  <si>
    <t>SPIDER CENTERLESS GRINDING 1</t>
  </si>
  <si>
    <t>SPIDER CENTERLESS GRINDING 2</t>
  </si>
  <si>
    <t>SPIDER CENTERLESS GRINDING-1</t>
  </si>
  <si>
    <t>SPIDER CENTERLESS GRINDING-2</t>
  </si>
  <si>
    <t xml:space="preserve">WHEEL FLANGE THREAD ROLLING </t>
  </si>
  <si>
    <t xml:space="preserve">SHAFT RACK ROLLING </t>
  </si>
  <si>
    <t>SHAFT RACK ROLLING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</si>
</sst>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[$-409]d\-mmm\-yy;@"/>
    <numFmt numFmtId="166" formatCode="0.0"/>
    <numFmt numFmtId="167" formatCode="0.000"/>
  </numFmts>
  <fonts count="3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sz val="12"/>
      <color indexed="60"/>
      <name val="Cambria"/>
      <family val="1"/>
      <scheme val="major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b/>
      <sz val="12"/>
      <color theme="3" tint="0.39997558519241921"/>
      <name val="Cambria"/>
      <family val="1"/>
      <scheme val="major"/>
    </font>
    <font>
      <b/>
      <sz val="14"/>
      <name val="Cambria"/>
      <family val="1"/>
      <scheme val="major"/>
    </font>
    <font>
      <b/>
      <sz val="16"/>
      <name val="Cambria"/>
      <family val="1"/>
      <scheme val="major"/>
    </font>
    <font>
      <b/>
      <sz val="20"/>
      <color theme="1"/>
      <name val="Cambria"/>
      <family val="1"/>
      <scheme val="major"/>
    </font>
    <font>
      <b/>
      <sz val="20"/>
      <name val="Cambria"/>
      <family val="1"/>
      <scheme val="major"/>
    </font>
    <font>
      <b/>
      <sz val="20"/>
      <color indexed="10"/>
      <name val="Cambria"/>
      <family val="1"/>
      <scheme val="major"/>
    </font>
    <font>
      <sz val="14"/>
      <name val="Cambria"/>
      <family val="1"/>
      <scheme val="maj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8"/>
      <name val="Cambria"/>
      <family val="1"/>
      <scheme val="maj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9">
    <xf numFmtId="0" fontId="0" fillId="0" borderId="0"/>
    <xf numFmtId="0" fontId="11" fillId="0" borderId="0"/>
    <xf numFmtId="0" fontId="15" fillId="0" borderId="0"/>
    <xf numFmtId="0" fontId="14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0" fillId="0" borderId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1" fillId="0" borderId="0"/>
    <xf numFmtId="0" fontId="7" fillId="0" borderId="0"/>
    <xf numFmtId="0" fontId="6" fillId="0" borderId="0"/>
    <xf numFmtId="9" fontId="6" fillId="0" borderId="0" applyFont="0" applyFill="0" applyBorder="0" applyAlignment="0" applyProtection="0"/>
    <xf numFmtId="0" fontId="5" fillId="0" borderId="0"/>
    <xf numFmtId="0" fontId="4" fillId="0" borderId="0"/>
    <xf numFmtId="0" fontId="11" fillId="0" borderId="0"/>
    <xf numFmtId="9" fontId="11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74">
    <xf numFmtId="0" fontId="0" fillId="0" borderId="0" xfId="0"/>
    <xf numFmtId="15" fontId="0" fillId="0" borderId="0" xfId="0" applyNumberFormat="1"/>
    <xf numFmtId="0" fontId="11" fillId="0" borderId="0" xfId="0" applyFont="1"/>
    <xf numFmtId="0" fontId="0" fillId="3" borderId="0" xfId="0" applyFill="1"/>
    <xf numFmtId="0" fontId="9" fillId="2" borderId="1" xfId="1" applyFont="1" applyFill="1" applyBorder="1" applyAlignment="1">
      <alignment horizontal="center" vertical="center"/>
    </xf>
    <xf numFmtId="1" fontId="19" fillId="0" borderId="1" xfId="0" applyNumberFormat="1" applyFont="1" applyFill="1" applyBorder="1" applyAlignment="1">
      <alignment horizontal="left" vertical="center" wrapText="1"/>
    </xf>
    <xf numFmtId="15" fontId="32" fillId="3" borderId="1" xfId="0" applyNumberFormat="1" applyFont="1" applyFill="1" applyBorder="1" applyAlignment="1">
      <alignment vertical="center" textRotation="90"/>
    </xf>
    <xf numFmtId="14" fontId="19" fillId="3" borderId="1" xfId="0" applyNumberFormat="1" applyFont="1" applyFill="1" applyBorder="1" applyAlignment="1">
      <alignment horizontal="center" vertical="center" wrapText="1"/>
    </xf>
    <xf numFmtId="1" fontId="3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0" xfId="0" applyFont="1" applyFill="1" applyBorder="1" applyAlignment="1" applyProtection="1">
      <alignment horizontal="center" vertical="center"/>
      <protection hidden="1"/>
    </xf>
    <xf numFmtId="0" fontId="21" fillId="3" borderId="1" xfId="0" applyFont="1" applyFill="1" applyBorder="1" applyAlignment="1" applyProtection="1">
      <alignment horizontal="center" vertical="center"/>
      <protection hidden="1"/>
    </xf>
    <xf numFmtId="17" fontId="23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0" xfId="0" applyFont="1" applyFill="1" applyBorder="1" applyProtection="1">
      <protection hidden="1"/>
    </xf>
    <xf numFmtId="0" fontId="18" fillId="0" borderId="0" xfId="0" applyFont="1" applyFill="1" applyBorder="1" applyProtection="1">
      <protection hidden="1"/>
    </xf>
    <xf numFmtId="0" fontId="20" fillId="0" borderId="0" xfId="0" applyFont="1" applyFill="1" applyBorder="1" applyAlignment="1" applyProtection="1">
      <alignment horizontal="center" vertical="center" wrapText="1"/>
      <protection hidden="1"/>
    </xf>
    <xf numFmtId="14" fontId="20" fillId="0" borderId="0" xfId="0" applyNumberFormat="1" applyFont="1" applyFill="1" applyBorder="1" applyAlignment="1" applyProtection="1">
      <alignment horizontal="center" vertical="center" wrapText="1"/>
      <protection hidden="1"/>
    </xf>
    <xf numFmtId="14" fontId="19" fillId="0" borderId="1" xfId="0" applyNumberFormat="1" applyFont="1" applyFill="1" applyBorder="1" applyAlignment="1" applyProtection="1">
      <alignment horizontal="center" vertical="center" wrapText="1"/>
      <protection hidden="1"/>
    </xf>
    <xf numFmtId="14" fontId="22" fillId="0" borderId="1" xfId="0" applyNumberFormat="1" applyFont="1" applyFill="1" applyBorder="1" applyAlignment="1" applyProtection="1">
      <alignment horizontal="center" vertical="center" wrapText="1"/>
      <protection hidden="1"/>
    </xf>
    <xf numFmtId="165" fontId="28" fillId="0" borderId="1" xfId="0" applyNumberFormat="1" applyFont="1" applyFill="1" applyBorder="1" applyAlignment="1" applyProtection="1">
      <alignment horizontal="center" vertical="center" wrapText="1"/>
      <protection hidden="1"/>
    </xf>
    <xf numFmtId="14" fontId="29" fillId="0" borderId="1" xfId="0" applyNumberFormat="1" applyFont="1" applyFill="1" applyBorder="1" applyAlignment="1" applyProtection="1">
      <alignment horizontal="center" vertical="center" wrapText="1"/>
      <protection hidden="1"/>
    </xf>
    <xf numFmtId="0" fontId="11" fillId="0" borderId="1" xfId="0" applyFont="1" applyFill="1" applyBorder="1" applyAlignment="1" applyProtection="1">
      <alignment horizontal="center" vertical="center" wrapText="1"/>
      <protection hidden="1"/>
    </xf>
    <xf numFmtId="14" fontId="16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6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6" fillId="0" borderId="0" xfId="0" applyFont="1" applyFill="1" applyBorder="1" applyAlignment="1" applyProtection="1">
      <alignment horizontal="center" vertical="center" wrapText="1"/>
      <protection hidden="1"/>
    </xf>
    <xf numFmtId="0" fontId="24" fillId="0" borderId="0" xfId="0" applyFont="1" applyFill="1" applyBorder="1" applyAlignment="1" applyProtection="1">
      <alignment horizontal="center" vertical="center" wrapText="1"/>
      <protection hidden="1"/>
    </xf>
    <xf numFmtId="1" fontId="19" fillId="0" borderId="1" xfId="0" applyNumberFormat="1" applyFont="1" applyFill="1" applyBorder="1" applyAlignment="1" applyProtection="1">
      <alignment horizontal="left" vertical="center" wrapText="1"/>
      <protection hidden="1"/>
    </xf>
    <xf numFmtId="1" fontId="30" fillId="0" borderId="1" xfId="0" applyNumberFormat="1" applyFont="1" applyFill="1" applyBorder="1" applyAlignment="1" applyProtection="1">
      <alignment horizontal="center" vertical="center" wrapText="1"/>
      <protection hidden="1"/>
    </xf>
    <xf numFmtId="2" fontId="30" fillId="0" borderId="1" xfId="0" applyNumberFormat="1" applyFont="1" applyFill="1" applyBorder="1" applyAlignment="1" applyProtection="1">
      <alignment horizontal="center" vertical="center" wrapText="1"/>
      <protection hidden="1"/>
    </xf>
    <xf numFmtId="1" fontId="19" fillId="0" borderId="1" xfId="0" applyNumberFormat="1" applyFont="1" applyFill="1" applyBorder="1" applyAlignment="1" applyProtection="1">
      <alignment horizontal="center" vertical="center" wrapText="1"/>
      <protection hidden="1"/>
    </xf>
    <xf numFmtId="1" fontId="25" fillId="0" borderId="0" xfId="0" applyNumberFormat="1" applyFont="1" applyFill="1" applyBorder="1" applyAlignment="1" applyProtection="1">
      <alignment horizontal="center" vertical="center" wrapText="1"/>
      <protection hidden="1"/>
    </xf>
    <xf numFmtId="1" fontId="25" fillId="0" borderId="0" xfId="0" applyNumberFormat="1" applyFont="1" applyFill="1" applyBorder="1" applyAlignment="1" applyProtection="1">
      <alignment horizontal="center"/>
      <protection hidden="1"/>
    </xf>
    <xf numFmtId="1" fontId="25" fillId="0" borderId="0" xfId="0" applyNumberFormat="1" applyFont="1" applyFill="1" applyBorder="1" applyProtection="1">
      <protection hidden="1"/>
    </xf>
    <xf numFmtId="0" fontId="25" fillId="0" borderId="0" xfId="0" applyFont="1" applyFill="1" applyBorder="1" applyProtection="1">
      <protection hidden="1"/>
    </xf>
    <xf numFmtId="2" fontId="19" fillId="0" borderId="1" xfId="0" applyNumberFormat="1" applyFont="1" applyFill="1" applyBorder="1" applyAlignment="1" applyProtection="1">
      <alignment horizontal="center" vertical="center" wrapText="1"/>
      <protection hidden="1"/>
    </xf>
    <xf numFmtId="0" fontId="27" fillId="0" borderId="1" xfId="0" applyFont="1" applyFill="1" applyBorder="1" applyAlignment="1" applyProtection="1">
      <alignment horizontal="center" vertical="center" wrapText="1"/>
      <protection hidden="1"/>
    </xf>
    <xf numFmtId="1" fontId="22" fillId="4" borderId="1" xfId="0" applyNumberFormat="1" applyFont="1" applyFill="1" applyBorder="1" applyAlignment="1" applyProtection="1">
      <alignment horizontal="left" vertical="center" wrapText="1"/>
      <protection hidden="1"/>
    </xf>
    <xf numFmtId="0" fontId="22" fillId="4" borderId="1" xfId="0" applyFont="1" applyFill="1" applyBorder="1" applyAlignment="1" applyProtection="1">
      <alignment horizontal="center" vertical="center" wrapText="1"/>
      <protection hidden="1"/>
    </xf>
    <xf numFmtId="1" fontId="31" fillId="4" borderId="1" xfId="0" applyNumberFormat="1" applyFont="1" applyFill="1" applyBorder="1" applyAlignment="1" applyProtection="1">
      <alignment horizontal="center" vertical="center" wrapText="1"/>
      <protection hidden="1"/>
    </xf>
    <xf numFmtId="166" fontId="31" fillId="4" borderId="1" xfId="0" applyNumberFormat="1" applyFont="1" applyFill="1" applyBorder="1" applyAlignment="1" applyProtection="1">
      <alignment horizontal="center" vertical="center" wrapText="1"/>
      <protection hidden="1"/>
    </xf>
    <xf numFmtId="2" fontId="31" fillId="4" borderId="1" xfId="0" applyNumberFormat="1" applyFont="1" applyFill="1" applyBorder="1" applyAlignment="1" applyProtection="1">
      <alignment horizontal="center" vertical="center" wrapText="1"/>
      <protection hidden="1"/>
    </xf>
    <xf numFmtId="1" fontId="25" fillId="5" borderId="1" xfId="0" applyNumberFormat="1" applyFont="1" applyFill="1" applyBorder="1" applyAlignment="1" applyProtection="1">
      <alignment vertical="center" wrapText="1"/>
      <protection hidden="1"/>
    </xf>
    <xf numFmtId="2" fontId="25" fillId="5" borderId="1" xfId="0" applyNumberFormat="1" applyFont="1" applyFill="1" applyBorder="1" applyAlignment="1" applyProtection="1">
      <alignment vertical="center" wrapText="1"/>
      <protection hidden="1"/>
    </xf>
    <xf numFmtId="1" fontId="26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26" fillId="0" borderId="0" xfId="0" applyFont="1" applyFill="1" applyBorder="1" applyProtection="1">
      <protection hidden="1"/>
    </xf>
    <xf numFmtId="1" fontId="25" fillId="0" borderId="1" xfId="0" applyNumberFormat="1" applyFont="1" applyFill="1" applyBorder="1" applyProtection="1">
      <protection hidden="1"/>
    </xf>
    <xf numFmtId="2" fontId="25" fillId="0" borderId="1" xfId="0" applyNumberFormat="1" applyFont="1" applyFill="1" applyBorder="1" applyProtection="1">
      <protection hidden="1"/>
    </xf>
    <xf numFmtId="0" fontId="25" fillId="0" borderId="0" xfId="0" applyFont="1" applyFill="1" applyBorder="1" applyAlignment="1" applyProtection="1">
      <protection hidden="1"/>
    </xf>
    <xf numFmtId="0" fontId="27" fillId="4" borderId="1" xfId="0" applyFont="1" applyFill="1" applyBorder="1" applyAlignment="1" applyProtection="1">
      <protection hidden="1"/>
    </xf>
    <xf numFmtId="0" fontId="25" fillId="0" borderId="0" xfId="0" applyFont="1" applyFill="1" applyBorder="1" applyAlignment="1" applyProtection="1">
      <alignment horizontal="center"/>
      <protection hidden="1"/>
    </xf>
    <xf numFmtId="0" fontId="25" fillId="0" borderId="0" xfId="0" applyFont="1" applyFill="1" applyBorder="1" applyAlignment="1" applyProtection="1">
      <alignment horizontal="left"/>
      <protection hidden="1"/>
    </xf>
    <xf numFmtId="0" fontId="16" fillId="0" borderId="0" xfId="0" applyFont="1" applyFill="1" applyBorder="1" applyProtection="1">
      <protection hidden="1"/>
    </xf>
    <xf numFmtId="0" fontId="16" fillId="0" borderId="0" xfId="0" applyFont="1" applyFill="1" applyBorder="1" applyAlignment="1" applyProtection="1">
      <alignment horizontal="left"/>
      <protection hidden="1"/>
    </xf>
    <xf numFmtId="0" fontId="16" fillId="2" borderId="0" xfId="0" applyFont="1" applyFill="1" applyBorder="1" applyProtection="1">
      <protection hidden="1"/>
    </xf>
    <xf numFmtId="0" fontId="27" fillId="2" borderId="0" xfId="0" applyFont="1" applyFill="1" applyBorder="1" applyProtection="1">
      <protection hidden="1"/>
    </xf>
    <xf numFmtId="1" fontId="16" fillId="2" borderId="0" xfId="0" applyNumberFormat="1" applyFont="1" applyFill="1" applyBorder="1" applyProtection="1">
      <protection hidden="1"/>
    </xf>
    <xf numFmtId="167" fontId="19" fillId="0" borderId="1" xfId="0" applyNumberFormat="1" applyFont="1" applyFill="1" applyBorder="1" applyAlignment="1" applyProtection="1">
      <alignment horizontal="center" vertical="center" wrapText="1"/>
      <protection hidden="1"/>
    </xf>
    <xf numFmtId="0" fontId="28" fillId="0" borderId="1" xfId="0" applyFont="1" applyBorder="1" applyAlignment="1" applyProtection="1">
      <alignment horizontal="center" vertical="center"/>
      <protection locked="0"/>
    </xf>
    <xf numFmtId="1" fontId="30" fillId="0" borderId="1" xfId="0" applyNumberFormat="1" applyFont="1" applyFill="1" applyBorder="1" applyAlignment="1" applyProtection="1">
      <alignment horizontal="center" vertical="center" wrapText="1"/>
      <protection locked="0"/>
    </xf>
    <xf numFmtId="1" fontId="30" fillId="0" borderId="1" xfId="0" applyNumberFormat="1" applyFont="1" applyFill="1" applyBorder="1" applyAlignment="1" applyProtection="1">
      <alignment horizontal="center" vertical="center" wrapText="1"/>
      <protection locked="0"/>
    </xf>
    <xf numFmtId="1" fontId="30" fillId="0" borderId="1" xfId="0" applyNumberFormat="1" applyFont="1" applyFill="1" applyBorder="1" applyAlignment="1" applyProtection="1">
      <alignment horizontal="center" vertical="center" wrapText="1"/>
      <protection locked="0"/>
    </xf>
    <xf numFmtId="1" fontId="30" fillId="0" borderId="1" xfId="0" applyNumberFormat="1" applyFont="1" applyFill="1" applyBorder="1" applyAlignment="1" applyProtection="1">
      <alignment horizontal="center" vertical="center" wrapText="1"/>
      <protection locked="0"/>
    </xf>
    <xf numFmtId="1" fontId="30" fillId="0" borderId="1" xfId="0" applyNumberFormat="1" applyFont="1" applyFill="1" applyBorder="1" applyAlignment="1" applyProtection="1">
      <alignment horizontal="center" vertical="center" wrapText="1"/>
      <protection locked="0"/>
    </xf>
    <xf numFmtId="1" fontId="30" fillId="0" borderId="1" xfId="0" applyNumberFormat="1" applyFont="1" applyFill="1" applyBorder="1" applyAlignment="1" applyProtection="1">
      <alignment horizontal="center" vertical="center" wrapText="1"/>
      <protection locked="0"/>
    </xf>
    <xf numFmtId="1" fontId="3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6" fillId="2" borderId="1" xfId="0" applyFont="1" applyFill="1" applyBorder="1" applyProtection="1">
      <protection locked="0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1" fontId="30" fillId="0" borderId="1" xfId="0" applyNumberFormat="1" applyFont="1" applyFill="1" applyBorder="1" applyAlignment="1" applyProtection="1">
      <alignment horizontal="center" vertical="center" wrapText="1"/>
      <protection locked="0"/>
    </xf>
    <xf numFmtId="1" fontId="16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6" fillId="2" borderId="1" xfId="0" applyFont="1" applyFill="1" applyBorder="1" applyAlignment="1" applyProtection="1">
      <alignment horizontal="center"/>
      <protection locked="0"/>
    </xf>
    <xf numFmtId="0" fontId="33" fillId="2" borderId="1" xfId="0" applyFont="1" applyFill="1" applyBorder="1" applyAlignment="1">
      <alignment horizontal="center" vertical="center"/>
    </xf>
    <xf numFmtId="0" fontId="0" fillId="0" borderId="1" xfId="0" applyBorder="1"/>
    <xf numFmtId="0" fontId="33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 applyProtection="1">
      <alignment horizontal="center" vertical="center" wrapText="1"/>
      <protection hidden="1"/>
    </xf>
    <xf numFmtId="15" fontId="23" fillId="3" borderId="1" xfId="0" applyNumberFormat="1" applyFont="1" applyFill="1" applyBorder="1" applyAlignment="1" applyProtection="1">
      <alignment horizontal="center" vertical="center"/>
      <protection hidden="1"/>
    </xf>
  </cellXfs>
  <cellStyles count="89">
    <cellStyle name="Comma 2" xfId="13"/>
    <cellStyle name="Comma 2 2" xfId="14"/>
    <cellStyle name="Comma 2 2 2" xfId="28"/>
    <cellStyle name="Comma 2 2 2 2" xfId="61"/>
    <cellStyle name="Comma 2 2 3" xfId="39"/>
    <cellStyle name="Comma 2 2 3 2" xfId="72"/>
    <cellStyle name="Comma 2 2 4" xfId="50"/>
    <cellStyle name="Comma 2 2 5" xfId="83"/>
    <cellStyle name="Comma 2 3" xfId="27"/>
    <cellStyle name="Comma 2 3 2" xfId="60"/>
    <cellStyle name="Comma 2 4" xfId="38"/>
    <cellStyle name="Comma 2 4 2" xfId="71"/>
    <cellStyle name="Comma 2 5" xfId="49"/>
    <cellStyle name="Comma 2 6" xfId="82"/>
    <cellStyle name="Comma 3" xfId="15"/>
    <cellStyle name="Comma 3 2" xfId="29"/>
    <cellStyle name="Comma 3 2 2" xfId="62"/>
    <cellStyle name="Comma 3 3" xfId="40"/>
    <cellStyle name="Comma 3 3 2" xfId="73"/>
    <cellStyle name="Comma 3 4" xfId="51"/>
    <cellStyle name="Comma 3 5" xfId="84"/>
    <cellStyle name="Normal" xfId="0" builtinId="0"/>
    <cellStyle name="Normal 10" xfId="20"/>
    <cellStyle name="Normal 10 2" xfId="33"/>
    <cellStyle name="Normal 10 2 2" xfId="66"/>
    <cellStyle name="Normal 10 3" xfId="44"/>
    <cellStyle name="Normal 10 3 2" xfId="77"/>
    <cellStyle name="Normal 10 4" xfId="55"/>
    <cellStyle name="Normal 10 5" xfId="88"/>
    <cellStyle name="Normal 2" xfId="1"/>
    <cellStyle name="Normal 3" xfId="2"/>
    <cellStyle name="Normal 3 2" xfId="21"/>
    <cellStyle name="Normal 3 2 2" xfId="56"/>
    <cellStyle name="Normal 3 3" xfId="34"/>
    <cellStyle name="Normal 3 3 2" xfId="67"/>
    <cellStyle name="Normal 3 4" xfId="45"/>
    <cellStyle name="Normal 3 5" xfId="78"/>
    <cellStyle name="Normal 4" xfId="3"/>
    <cellStyle name="Normal 4 2" xfId="22"/>
    <cellStyle name="Normal 5" xfId="10"/>
    <cellStyle name="Normal 5 2" xfId="24"/>
    <cellStyle name="Normal 5 2 2" xfId="57"/>
    <cellStyle name="Normal 5 3" xfId="35"/>
    <cellStyle name="Normal 5 3 2" xfId="68"/>
    <cellStyle name="Normal 5 4" xfId="46"/>
    <cellStyle name="Normal 5 5" xfId="79"/>
    <cellStyle name="Normal 6" xfId="11"/>
    <cellStyle name="Normal 6 2" xfId="25"/>
    <cellStyle name="Normal 6 2 2" xfId="58"/>
    <cellStyle name="Normal 6 3" xfId="36"/>
    <cellStyle name="Normal 6 3 2" xfId="69"/>
    <cellStyle name="Normal 6 4" xfId="47"/>
    <cellStyle name="Normal 6 5" xfId="80"/>
    <cellStyle name="Normal 7" xfId="17"/>
    <cellStyle name="Normal 7 2" xfId="30"/>
    <cellStyle name="Normal 7 2 2" xfId="63"/>
    <cellStyle name="Normal 7 3" xfId="41"/>
    <cellStyle name="Normal 7 3 2" xfId="74"/>
    <cellStyle name="Normal 7 4" xfId="52"/>
    <cellStyle name="Normal 7 5" xfId="85"/>
    <cellStyle name="Normal 8" xfId="16"/>
    <cellStyle name="Normal 9" xfId="18"/>
    <cellStyle name="Normal 9 2" xfId="31"/>
    <cellStyle name="Normal 9 2 2" xfId="64"/>
    <cellStyle name="Normal 9 3" xfId="42"/>
    <cellStyle name="Normal 9 3 2" xfId="75"/>
    <cellStyle name="Normal 9 4" xfId="53"/>
    <cellStyle name="Normal 9 5" xfId="86"/>
    <cellStyle name="Percent 2" xfId="4"/>
    <cellStyle name="Percent 2 2" xfId="5"/>
    <cellStyle name="Percent 3" xfId="6"/>
    <cellStyle name="Percent 4" xfId="7"/>
    <cellStyle name="Percent 4 2" xfId="8"/>
    <cellStyle name="Percent 5" xfId="9"/>
    <cellStyle name="Percent 5 2" xfId="23"/>
    <cellStyle name="Percent 6" xfId="12"/>
    <cellStyle name="Percent 6 2" xfId="26"/>
    <cellStyle name="Percent 6 2 2" xfId="59"/>
    <cellStyle name="Percent 6 3" xfId="37"/>
    <cellStyle name="Percent 6 3 2" xfId="70"/>
    <cellStyle name="Percent 6 4" xfId="48"/>
    <cellStyle name="Percent 6 5" xfId="81"/>
    <cellStyle name="Percent 7" xfId="19"/>
    <cellStyle name="Percent 7 2" xfId="32"/>
    <cellStyle name="Percent 7 2 2" xfId="65"/>
    <cellStyle name="Percent 7 3" xfId="43"/>
    <cellStyle name="Percent 7 3 2" xfId="76"/>
    <cellStyle name="Percent 7 4" xfId="54"/>
    <cellStyle name="Percent 7 5" xfId="87"/>
  </cellStyles>
  <dxfs count="0"/>
  <tableStyles count="0" defaultTableStyle="TableStyleMedium9" defaultPivotStyle="PivotStyleLight16"/>
  <colors>
    <mruColors>
      <color rgb="FFF68B32"/>
      <color rgb="FFF69F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238504</xdr:colOff>
      <xdr:row>0</xdr:row>
      <xdr:rowOff>117432</xdr:rowOff>
    </xdr:from>
    <xdr:to>
      <xdr:col>4</xdr:col>
      <xdr:colOff>305659</xdr:colOff>
      <xdr:row>0</xdr:row>
      <xdr:rowOff>991644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990" y="117432"/>
          <a:ext cx="2885778" cy="8742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O204"/>
  <sheetViews>
    <sheetView workbookViewId="0">
      <selection activeCell="C27" sqref="C27"/>
    </sheetView>
  </sheetViews>
  <sheetFormatPr defaultRowHeight="12.75" x14ac:dyDescent="0.2"/>
  <cols>
    <col min="1" max="1" width="47.140625" bestFit="1" customWidth="1"/>
    <col min="2" max="2" width="44.85546875" bestFit="1" customWidth="1"/>
    <col min="3" max="3" width="21" customWidth="1"/>
    <col min="4" max="4" width="24" customWidth="1"/>
    <col min="5" max="5" width="31" bestFit="1" customWidth="1"/>
    <col min="7" max="7" width="20.5703125" bestFit="1" customWidth="1"/>
    <col min="8" max="8" width="35.42578125" bestFit="1" customWidth="1"/>
    <col min="9" max="9" width="14.5703125" customWidth="1"/>
    <col min="39" max="39" width="15.140625" customWidth="1"/>
  </cols>
  <sheetData>
    <row r="1" spans="1:327" ht="15" x14ac:dyDescent="0.2">
      <c r="A1" s="4" t="s">
        <v>72</v>
      </c>
      <c r="B1" s="4" t="s">
        <v>73</v>
      </c>
      <c r="D1" s="2" t="s">
        <v>47</v>
      </c>
      <c r="G1" t="s">
        <v>48</v>
      </c>
    </row>
    <row r="2" spans="1:327" x14ac:dyDescent="0.2">
      <c r="B2" t="s">
        <v>217</v>
      </c>
    </row>
    <row r="3" spans="1:327" x14ac:dyDescent="0.2">
      <c r="B3" t="s">
        <v>218</v>
      </c>
      <c r="C3" t="s">
        <v>217</v>
      </c>
      <c r="D3" t="s">
        <v>218</v>
      </c>
      <c r="E3" t="s">
        <v>219</v>
      </c>
      <c r="F3" t="s">
        <v>220</v>
      </c>
      <c r="G3" t="s">
        <v>221</v>
      </c>
      <c r="H3" t="s">
        <v>222</v>
      </c>
      <c r="I3" t="s">
        <v>223</v>
      </c>
      <c r="J3" t="s">
        <v>224</v>
      </c>
      <c r="K3" t="s">
        <v>225</v>
      </c>
      <c r="L3" t="s">
        <v>226</v>
      </c>
      <c r="M3" t="s">
        <v>227</v>
      </c>
      <c r="N3" t="s">
        <v>228</v>
      </c>
      <c r="O3" t="s">
        <v>229</v>
      </c>
      <c r="P3" t="s">
        <v>230</v>
      </c>
      <c r="Q3" t="s">
        <v>231</v>
      </c>
      <c r="R3" t="s">
        <v>232</v>
      </c>
      <c r="S3" t="s">
        <v>233</v>
      </c>
      <c r="T3" t="s">
        <v>234</v>
      </c>
      <c r="U3" t="s">
        <v>235</v>
      </c>
      <c r="V3" t="s">
        <v>236</v>
      </c>
      <c r="W3" t="s">
        <v>237</v>
      </c>
      <c r="X3" t="s">
        <v>238</v>
      </c>
      <c r="Y3" t="s">
        <v>239</v>
      </c>
      <c r="Z3" t="s">
        <v>240</v>
      </c>
      <c r="AA3" t="s">
        <v>241</v>
      </c>
      <c r="AB3" t="s">
        <v>242</v>
      </c>
      <c r="AC3" t="s">
        <v>243</v>
      </c>
      <c r="AD3" t="s">
        <v>244</v>
      </c>
      <c r="AE3" t="s">
        <v>245</v>
      </c>
      <c r="AF3" t="s">
        <v>246</v>
      </c>
      <c r="AG3" t="s">
        <v>247</v>
      </c>
      <c r="AH3" t="s">
        <v>248</v>
      </c>
      <c r="AI3" t="s">
        <v>249</v>
      </c>
      <c r="AJ3" t="s">
        <v>250</v>
      </c>
      <c r="AK3" t="s">
        <v>251</v>
      </c>
      <c r="AL3" t="s">
        <v>252</v>
      </c>
      <c r="AM3" t="s">
        <v>253</v>
      </c>
      <c r="AN3" t="s">
        <v>254</v>
      </c>
      <c r="AO3" t="s">
        <v>255</v>
      </c>
      <c r="AP3" t="s">
        <v>256</v>
      </c>
      <c r="AQ3" t="s">
        <v>257</v>
      </c>
      <c r="AR3" t="s">
        <v>258</v>
      </c>
      <c r="AS3" t="s">
        <v>259</v>
      </c>
      <c r="AT3" t="s">
        <v>260</v>
      </c>
      <c r="AU3" t="s">
        <v>261</v>
      </c>
      <c r="AV3" t="s">
        <v>262</v>
      </c>
      <c r="AW3" t="s">
        <v>263</v>
      </c>
      <c r="AX3" t="s">
        <v>264</v>
      </c>
      <c r="AY3" t="s">
        <v>265</v>
      </c>
      <c r="AZ3" t="s">
        <v>266</v>
      </c>
      <c r="BA3" t="s">
        <v>267</v>
      </c>
      <c r="BB3" t="s">
        <v>268</v>
      </c>
      <c r="BC3" t="s">
        <v>269</v>
      </c>
      <c r="BD3" t="s">
        <v>270</v>
      </c>
      <c r="BE3" t="s">
        <v>271</v>
      </c>
      <c r="BF3" t="s">
        <v>272</v>
      </c>
      <c r="BG3" t="s">
        <v>273</v>
      </c>
      <c r="BH3" t="s">
        <v>274</v>
      </c>
      <c r="BI3" t="s">
        <v>275</v>
      </c>
      <c r="BJ3" t="s">
        <v>276</v>
      </c>
      <c r="JA3" t="s">
        <v>2</v>
      </c>
      <c r="JB3" t="s">
        <v>3</v>
      </c>
      <c r="JC3" t="s">
        <v>4</v>
      </c>
      <c r="JD3" t="s">
        <v>5</v>
      </c>
      <c r="JE3" t="s">
        <v>6</v>
      </c>
      <c r="JF3" t="s">
        <v>7</v>
      </c>
      <c r="JG3" t="s">
        <v>8</v>
      </c>
      <c r="JH3" t="s">
        <v>9</v>
      </c>
      <c r="JI3" t="s">
        <v>49</v>
      </c>
      <c r="JJ3" t="s">
        <v>10</v>
      </c>
      <c r="JK3" t="s">
        <v>11</v>
      </c>
      <c r="JL3" t="s">
        <v>12</v>
      </c>
      <c r="JM3" t="s">
        <v>13</v>
      </c>
      <c r="JN3" t="s">
        <v>14</v>
      </c>
      <c r="JO3" t="s">
        <v>15</v>
      </c>
      <c r="JP3" t="s">
        <v>16</v>
      </c>
      <c r="JQ3" t="s">
        <v>17</v>
      </c>
      <c r="JR3" t="s">
        <v>18</v>
      </c>
      <c r="JS3" t="s">
        <v>19</v>
      </c>
      <c r="JT3" t="s">
        <v>20</v>
      </c>
      <c r="JU3" t="s">
        <v>21</v>
      </c>
      <c r="JV3" t="s">
        <v>22</v>
      </c>
      <c r="JW3" t="s">
        <v>23</v>
      </c>
      <c r="JX3" t="s">
        <v>24</v>
      </c>
      <c r="JY3" t="s">
        <v>25</v>
      </c>
      <c r="JZ3" t="s">
        <v>26</v>
      </c>
      <c r="KA3" t="s">
        <v>40</v>
      </c>
      <c r="KB3" t="s">
        <v>41</v>
      </c>
      <c r="KC3" t="s">
        <v>42</v>
      </c>
      <c r="KD3" t="s">
        <v>43</v>
      </c>
      <c r="KE3" t="s">
        <v>44</v>
      </c>
      <c r="KF3" t="s">
        <v>45</v>
      </c>
      <c r="KG3" t="s">
        <v>46</v>
      </c>
      <c r="KH3" t="s">
        <v>27</v>
      </c>
      <c r="KI3" t="s">
        <v>28</v>
      </c>
      <c r="KJ3" t="s">
        <v>29</v>
      </c>
      <c r="KK3" t="s">
        <v>30</v>
      </c>
      <c r="KL3" t="s">
        <v>31</v>
      </c>
      <c r="KM3" t="s">
        <v>32</v>
      </c>
      <c r="KN3" t="s">
        <v>33</v>
      </c>
      <c r="KO3" t="s">
        <v>34</v>
      </c>
      <c r="KP3" t="s">
        <v>35</v>
      </c>
      <c r="KQ3" t="s">
        <v>36</v>
      </c>
      <c r="KR3" t="s">
        <v>37</v>
      </c>
      <c r="KS3" t="s">
        <v>39</v>
      </c>
      <c r="KT3" t="s">
        <v>50</v>
      </c>
      <c r="KU3" t="s">
        <v>51</v>
      </c>
      <c r="KV3" t="s">
        <v>52</v>
      </c>
      <c r="KW3" t="s">
        <v>53</v>
      </c>
      <c r="KX3" t="s">
        <v>54</v>
      </c>
      <c r="KY3" t="s">
        <v>55</v>
      </c>
      <c r="KZ3" t="s">
        <v>56</v>
      </c>
      <c r="LA3" t="s">
        <v>57</v>
      </c>
      <c r="LB3" t="s">
        <v>58</v>
      </c>
      <c r="LC3" t="s">
        <v>59</v>
      </c>
      <c r="LD3" t="s">
        <v>60</v>
      </c>
      <c r="LE3" t="s">
        <v>61</v>
      </c>
      <c r="LF3" t="s">
        <v>62</v>
      </c>
      <c r="LG3" t="s">
        <v>63</v>
      </c>
      <c r="LH3" t="s">
        <v>64</v>
      </c>
      <c r="LI3" t="s">
        <v>65</v>
      </c>
      <c r="LJ3" t="s">
        <v>66</v>
      </c>
      <c r="LK3" t="s">
        <v>67</v>
      </c>
      <c r="LL3" t="s">
        <v>68</v>
      </c>
      <c r="LM3" t="s">
        <v>69</v>
      </c>
      <c r="LN3" t="s">
        <v>70</v>
      </c>
      <c r="LO3" t="s">
        <v>71</v>
      </c>
    </row>
    <row r="4" spans="1:327" x14ac:dyDescent="0.2">
      <c r="A4" s="1"/>
      <c r="B4" t="s">
        <v>219</v>
      </c>
    </row>
    <row r="5" spans="1:327" x14ac:dyDescent="0.2">
      <c r="B5" t="s">
        <v>220</v>
      </c>
    </row>
    <row r="6" spans="1:327" x14ac:dyDescent="0.2">
      <c r="B6" t="s">
        <v>221</v>
      </c>
    </row>
    <row r="7" spans="1:327" x14ac:dyDescent="0.2">
      <c r="B7" t="s">
        <v>222</v>
      </c>
    </row>
    <row r="8" spans="1:327" x14ac:dyDescent="0.2">
      <c r="B8" t="s">
        <v>223</v>
      </c>
      <c r="G8" s="3"/>
      <c r="H8" s="3"/>
    </row>
    <row r="9" spans="1:327" x14ac:dyDescent="0.2">
      <c r="B9" t="s">
        <v>224</v>
      </c>
      <c r="G9" s="3"/>
      <c r="H9" s="3"/>
    </row>
    <row r="10" spans="1:327" x14ac:dyDescent="0.2">
      <c r="B10" t="s">
        <v>225</v>
      </c>
      <c r="G10" s="3"/>
      <c r="H10" s="3"/>
    </row>
    <row r="11" spans="1:327" x14ac:dyDescent="0.2">
      <c r="B11" t="s">
        <v>226</v>
      </c>
      <c r="G11" s="3"/>
      <c r="H11" s="3"/>
    </row>
    <row r="12" spans="1:327" x14ac:dyDescent="0.2">
      <c r="B12" t="s">
        <v>227</v>
      </c>
      <c r="G12" s="3"/>
      <c r="H12" s="3"/>
    </row>
    <row r="13" spans="1:327" x14ac:dyDescent="0.2">
      <c r="B13" t="s">
        <v>228</v>
      </c>
      <c r="G13" s="3"/>
      <c r="H13" s="3"/>
    </row>
    <row r="14" spans="1:327" x14ac:dyDescent="0.2">
      <c r="B14" t="s">
        <v>229</v>
      </c>
      <c r="G14" s="3"/>
      <c r="H14" s="3"/>
    </row>
    <row r="15" spans="1:327" x14ac:dyDescent="0.2">
      <c r="B15" t="s">
        <v>230</v>
      </c>
      <c r="G15" s="3"/>
      <c r="H15" s="3"/>
    </row>
    <row r="16" spans="1:327" x14ac:dyDescent="0.2">
      <c r="B16" t="s">
        <v>231</v>
      </c>
      <c r="G16" s="3"/>
      <c r="H16" s="3"/>
    </row>
    <row r="17" spans="2:8" x14ac:dyDescent="0.2">
      <c r="B17" t="s">
        <v>232</v>
      </c>
      <c r="G17" s="3"/>
      <c r="H17" s="3"/>
    </row>
    <row r="18" spans="2:8" x14ac:dyDescent="0.2">
      <c r="B18" t="s">
        <v>233</v>
      </c>
      <c r="G18" s="3"/>
      <c r="H18" s="3"/>
    </row>
    <row r="19" spans="2:8" x14ac:dyDescent="0.2">
      <c r="B19" t="s">
        <v>234</v>
      </c>
      <c r="G19" s="3"/>
      <c r="H19" s="3"/>
    </row>
    <row r="20" spans="2:8" x14ac:dyDescent="0.2">
      <c r="B20" t="s">
        <v>235</v>
      </c>
    </row>
    <row r="21" spans="2:8" x14ac:dyDescent="0.2">
      <c r="B21" t="s">
        <v>236</v>
      </c>
    </row>
    <row r="22" spans="2:8" x14ac:dyDescent="0.2">
      <c r="B22" t="s">
        <v>237</v>
      </c>
    </row>
    <row r="23" spans="2:8" x14ac:dyDescent="0.2">
      <c r="B23" t="s">
        <v>238</v>
      </c>
    </row>
    <row r="24" spans="2:8" x14ac:dyDescent="0.2">
      <c r="B24" t="s">
        <v>239</v>
      </c>
    </row>
    <row r="25" spans="2:8" x14ac:dyDescent="0.2">
      <c r="B25" t="s">
        <v>240</v>
      </c>
    </row>
    <row r="26" spans="2:8" x14ac:dyDescent="0.2">
      <c r="B26" t="s">
        <v>241</v>
      </c>
    </row>
    <row r="27" spans="2:8" x14ac:dyDescent="0.2">
      <c r="B27" t="s">
        <v>242</v>
      </c>
    </row>
    <row r="28" spans="2:8" x14ac:dyDescent="0.2">
      <c r="B28" t="s">
        <v>243</v>
      </c>
    </row>
    <row r="29" spans="2:8" x14ac:dyDescent="0.2">
      <c r="B29" t="s">
        <v>244</v>
      </c>
    </row>
    <row r="30" spans="2:8" x14ac:dyDescent="0.2">
      <c r="B30" t="s">
        <v>245</v>
      </c>
    </row>
    <row r="31" spans="2:8" x14ac:dyDescent="0.2">
      <c r="B31" t="s">
        <v>246</v>
      </c>
    </row>
    <row r="32" spans="2:8" x14ac:dyDescent="0.2">
      <c r="B32" t="s">
        <v>247</v>
      </c>
    </row>
    <row r="33" spans="2:2" x14ac:dyDescent="0.2">
      <c r="B33" t="s">
        <v>248</v>
      </c>
    </row>
    <row r="34" spans="2:2" x14ac:dyDescent="0.2">
      <c r="B34" t="s">
        <v>249</v>
      </c>
    </row>
    <row r="35" spans="2:2" x14ac:dyDescent="0.2">
      <c r="B35" t="s">
        <v>250</v>
      </c>
    </row>
    <row r="36" spans="2:2" x14ac:dyDescent="0.2">
      <c r="B36" t="s">
        <v>251</v>
      </c>
    </row>
    <row r="37" spans="2:2" x14ac:dyDescent="0.2">
      <c r="B37" t="s">
        <v>252</v>
      </c>
    </row>
    <row r="38" spans="2:2" x14ac:dyDescent="0.2">
      <c r="B38" t="s">
        <v>253</v>
      </c>
    </row>
    <row r="39" spans="2:2" x14ac:dyDescent="0.2">
      <c r="B39" t="s">
        <v>254</v>
      </c>
    </row>
    <row r="40" spans="2:2" x14ac:dyDescent="0.2">
      <c r="B40" t="s">
        <v>255</v>
      </c>
    </row>
    <row r="41" spans="2:2" x14ac:dyDescent="0.2">
      <c r="B41" t="s">
        <v>256</v>
      </c>
    </row>
    <row r="42" spans="2:2" x14ac:dyDescent="0.2">
      <c r="B42" t="s">
        <v>257</v>
      </c>
    </row>
    <row r="43" spans="2:2" x14ac:dyDescent="0.2">
      <c r="B43" t="s">
        <v>258</v>
      </c>
    </row>
    <row r="44" spans="2:2" x14ac:dyDescent="0.2">
      <c r="B44" t="s">
        <v>259</v>
      </c>
    </row>
    <row r="45" spans="2:2" x14ac:dyDescent="0.2">
      <c r="B45" t="s">
        <v>260</v>
      </c>
    </row>
    <row r="46" spans="2:2" x14ac:dyDescent="0.2">
      <c r="B46" t="s">
        <v>261</v>
      </c>
    </row>
    <row r="47" spans="2:2" x14ac:dyDescent="0.2">
      <c r="B47" t="s">
        <v>262</v>
      </c>
    </row>
    <row r="48" spans="2:2" x14ac:dyDescent="0.2">
      <c r="B48" t="s">
        <v>263</v>
      </c>
    </row>
    <row r="49" spans="1:2" x14ac:dyDescent="0.2">
      <c r="B49" t="s">
        <v>264</v>
      </c>
    </row>
    <row r="50" spans="1:2" x14ac:dyDescent="0.2">
      <c r="B50" t="s">
        <v>265</v>
      </c>
    </row>
    <row r="51" spans="1:2" x14ac:dyDescent="0.2">
      <c r="B51" t="s">
        <v>266</v>
      </c>
    </row>
    <row r="52" spans="1:2" x14ac:dyDescent="0.2">
      <c r="B52" t="s">
        <v>267</v>
      </c>
    </row>
    <row r="53" spans="1:2" x14ac:dyDescent="0.2">
      <c r="B53" t="s">
        <v>268</v>
      </c>
    </row>
    <row r="54" spans="1:2" x14ac:dyDescent="0.2">
      <c r="B54" t="s">
        <v>269</v>
      </c>
    </row>
    <row r="55" spans="1:2" x14ac:dyDescent="0.2">
      <c r="B55" t="s">
        <v>270</v>
      </c>
    </row>
    <row r="56" spans="1:2" x14ac:dyDescent="0.2">
      <c r="B56" t="s">
        <v>271</v>
      </c>
    </row>
    <row r="57" spans="1:2" x14ac:dyDescent="0.2">
      <c r="B57" t="s">
        <v>272</v>
      </c>
    </row>
    <row r="58" spans="1:2" x14ac:dyDescent="0.2">
      <c r="B58" t="s">
        <v>273</v>
      </c>
    </row>
    <row r="59" spans="1:2" x14ac:dyDescent="0.2">
      <c r="B59" t="s">
        <v>274</v>
      </c>
    </row>
    <row r="60" spans="1:2" x14ac:dyDescent="0.2">
      <c r="B60" t="s">
        <v>275</v>
      </c>
    </row>
    <row r="61" spans="1:2" x14ac:dyDescent="0.2">
      <c r="B61" t="s">
        <v>276</v>
      </c>
    </row>
    <row r="62" spans="1:2" x14ac:dyDescent="0.2">
      <c r="A62" t="s">
        <v>161</v>
      </c>
    </row>
    <row r="63" spans="1:2" x14ac:dyDescent="0.2">
      <c r="A63" t="s">
        <v>162</v>
      </c>
    </row>
    <row r="64" spans="1:2" x14ac:dyDescent="0.2">
      <c r="A64" t="s">
        <v>163</v>
      </c>
    </row>
    <row r="65" spans="1:1" x14ac:dyDescent="0.2">
      <c r="A65" t="s">
        <v>126</v>
      </c>
    </row>
    <row r="66" spans="1:1" x14ac:dyDescent="0.2">
      <c r="A66" t="s">
        <v>164</v>
      </c>
    </row>
    <row r="67" spans="1:1" x14ac:dyDescent="0.2">
      <c r="A67" t="s">
        <v>165</v>
      </c>
    </row>
    <row r="68" spans="1:1" x14ac:dyDescent="0.2">
      <c r="A68" t="s">
        <v>215</v>
      </c>
    </row>
    <row r="69" spans="1:1" x14ac:dyDescent="0.2">
      <c r="A69" t="s">
        <v>167</v>
      </c>
    </row>
    <row r="70" spans="1:1" x14ac:dyDescent="0.2">
      <c r="A70" t="s">
        <v>166</v>
      </c>
    </row>
    <row r="71" spans="1:1" x14ac:dyDescent="0.2">
      <c r="A71" t="s">
        <v>160</v>
      </c>
    </row>
    <row r="72" spans="1:1" x14ac:dyDescent="0.2">
      <c r="A72" t="s">
        <v>216</v>
      </c>
    </row>
    <row r="73" spans="1:1" x14ac:dyDescent="0.2">
      <c r="A73" t="s">
        <v>168</v>
      </c>
    </row>
    <row r="74" spans="1:1" x14ac:dyDescent="0.2">
      <c r="A74" t="s">
        <v>107</v>
      </c>
    </row>
    <row r="75" spans="1:1" x14ac:dyDescent="0.2">
      <c r="A75" t="s">
        <v>87</v>
      </c>
    </row>
    <row r="76" spans="1:1" x14ac:dyDescent="0.2">
      <c r="A76" t="s">
        <v>104</v>
      </c>
    </row>
    <row r="77" spans="1:1" x14ac:dyDescent="0.2">
      <c r="A77" t="s">
        <v>123</v>
      </c>
    </row>
    <row r="78" spans="1:1" x14ac:dyDescent="0.2">
      <c r="A78" t="s">
        <v>106</v>
      </c>
    </row>
    <row r="79" spans="1:1" x14ac:dyDescent="0.2">
      <c r="A79" t="s">
        <v>103</v>
      </c>
    </row>
    <row r="80" spans="1:1" x14ac:dyDescent="0.2">
      <c r="A80" t="s">
        <v>178</v>
      </c>
    </row>
    <row r="81" spans="1:1" x14ac:dyDescent="0.2">
      <c r="A81" t="s">
        <v>113</v>
      </c>
    </row>
    <row r="82" spans="1:1" x14ac:dyDescent="0.2">
      <c r="A82" t="s">
        <v>170</v>
      </c>
    </row>
    <row r="83" spans="1:1" x14ac:dyDescent="0.2">
      <c r="A83" t="s">
        <v>171</v>
      </c>
    </row>
    <row r="84" spans="1:1" x14ac:dyDescent="0.2">
      <c r="A84" t="s">
        <v>172</v>
      </c>
    </row>
    <row r="85" spans="1:1" x14ac:dyDescent="0.2">
      <c r="A85" t="s">
        <v>108</v>
      </c>
    </row>
    <row r="86" spans="1:1" x14ac:dyDescent="0.2">
      <c r="A86" t="s">
        <v>212</v>
      </c>
    </row>
    <row r="87" spans="1:1" x14ac:dyDescent="0.2">
      <c r="A87" t="s">
        <v>169</v>
      </c>
    </row>
    <row r="88" spans="1:1" x14ac:dyDescent="0.2">
      <c r="A88" t="s">
        <v>179</v>
      </c>
    </row>
    <row r="89" spans="1:1" x14ac:dyDescent="0.2">
      <c r="A89" t="s">
        <v>99</v>
      </c>
    </row>
    <row r="90" spans="1:1" x14ac:dyDescent="0.2">
      <c r="A90" t="s">
        <v>79</v>
      </c>
    </row>
    <row r="91" spans="1:1" x14ac:dyDescent="0.2">
      <c r="A91" t="s">
        <v>180</v>
      </c>
    </row>
    <row r="92" spans="1:1" x14ac:dyDescent="0.2">
      <c r="A92" t="s">
        <v>181</v>
      </c>
    </row>
    <row r="93" spans="1:1" x14ac:dyDescent="0.2">
      <c r="A93" t="s">
        <v>182</v>
      </c>
    </row>
    <row r="94" spans="1:1" x14ac:dyDescent="0.2">
      <c r="A94" t="s">
        <v>146</v>
      </c>
    </row>
    <row r="95" spans="1:1" x14ac:dyDescent="0.2">
      <c r="A95" t="s">
        <v>74</v>
      </c>
    </row>
    <row r="96" spans="1:1" x14ac:dyDescent="0.2">
      <c r="A96" t="s">
        <v>77</v>
      </c>
    </row>
    <row r="97" spans="1:1" x14ac:dyDescent="0.2">
      <c r="A97" t="s">
        <v>90</v>
      </c>
    </row>
    <row r="98" spans="1:1" x14ac:dyDescent="0.2">
      <c r="A98" t="s">
        <v>91</v>
      </c>
    </row>
    <row r="99" spans="1:1" x14ac:dyDescent="0.2">
      <c r="A99" t="s">
        <v>105</v>
      </c>
    </row>
    <row r="100" spans="1:1" x14ac:dyDescent="0.2">
      <c r="A100" t="s">
        <v>111</v>
      </c>
    </row>
    <row r="101" spans="1:1" x14ac:dyDescent="0.2">
      <c r="A101" t="s">
        <v>125</v>
      </c>
    </row>
    <row r="102" spans="1:1" x14ac:dyDescent="0.2">
      <c r="A102" t="s">
        <v>127</v>
      </c>
    </row>
    <row r="103" spans="1:1" x14ac:dyDescent="0.2">
      <c r="A103" t="s">
        <v>128</v>
      </c>
    </row>
    <row r="104" spans="1:1" x14ac:dyDescent="0.2">
      <c r="A104" t="s">
        <v>129</v>
      </c>
    </row>
    <row r="105" spans="1:1" x14ac:dyDescent="0.2">
      <c r="A105" t="s">
        <v>130</v>
      </c>
    </row>
    <row r="106" spans="1:1" x14ac:dyDescent="0.2">
      <c r="A106" t="s">
        <v>131</v>
      </c>
    </row>
    <row r="107" spans="1:1" x14ac:dyDescent="0.2">
      <c r="A107" t="s">
        <v>132</v>
      </c>
    </row>
    <row r="108" spans="1:1" x14ac:dyDescent="0.2">
      <c r="A108" t="s">
        <v>133</v>
      </c>
    </row>
    <row r="109" spans="1:1" x14ac:dyDescent="0.2">
      <c r="A109" t="s">
        <v>78</v>
      </c>
    </row>
    <row r="110" spans="1:1" x14ac:dyDescent="0.2">
      <c r="A110" t="s">
        <v>81</v>
      </c>
    </row>
    <row r="111" spans="1:1" x14ac:dyDescent="0.2">
      <c r="A111" t="s">
        <v>82</v>
      </c>
    </row>
    <row r="112" spans="1:1" x14ac:dyDescent="0.2">
      <c r="A112" t="s">
        <v>86</v>
      </c>
    </row>
    <row r="113" spans="1:1" x14ac:dyDescent="0.2">
      <c r="A113" t="s">
        <v>96</v>
      </c>
    </row>
    <row r="114" spans="1:1" x14ac:dyDescent="0.2">
      <c r="A114" t="s">
        <v>101</v>
      </c>
    </row>
    <row r="115" spans="1:1" x14ac:dyDescent="0.2">
      <c r="A115" t="s">
        <v>102</v>
      </c>
    </row>
    <row r="116" spans="1:1" x14ac:dyDescent="0.2">
      <c r="A116" t="s">
        <v>110</v>
      </c>
    </row>
    <row r="117" spans="1:1" x14ac:dyDescent="0.2">
      <c r="A117" t="s">
        <v>118</v>
      </c>
    </row>
    <row r="118" spans="1:1" x14ac:dyDescent="0.2">
      <c r="A118" t="s">
        <v>120</v>
      </c>
    </row>
    <row r="119" spans="1:1" x14ac:dyDescent="0.2">
      <c r="A119" t="s">
        <v>135</v>
      </c>
    </row>
    <row r="120" spans="1:1" x14ac:dyDescent="0.2">
      <c r="A120" t="s">
        <v>136</v>
      </c>
    </row>
    <row r="121" spans="1:1" x14ac:dyDescent="0.2">
      <c r="A121" t="s">
        <v>85</v>
      </c>
    </row>
    <row r="122" spans="1:1" x14ac:dyDescent="0.2">
      <c r="A122" t="s">
        <v>88</v>
      </c>
    </row>
    <row r="123" spans="1:1" x14ac:dyDescent="0.2">
      <c r="A123" t="s">
        <v>89</v>
      </c>
    </row>
    <row r="124" spans="1:1" x14ac:dyDescent="0.2">
      <c r="A124" t="s">
        <v>134</v>
      </c>
    </row>
    <row r="125" spans="1:1" x14ac:dyDescent="0.2">
      <c r="A125" t="s">
        <v>154</v>
      </c>
    </row>
    <row r="126" spans="1:1" x14ac:dyDescent="0.2">
      <c r="A126" t="s">
        <v>155</v>
      </c>
    </row>
    <row r="127" spans="1:1" x14ac:dyDescent="0.2">
      <c r="A127" t="s">
        <v>156</v>
      </c>
    </row>
    <row r="128" spans="1:1" x14ac:dyDescent="0.2">
      <c r="A128" t="s">
        <v>157</v>
      </c>
    </row>
    <row r="129" spans="1:1" x14ac:dyDescent="0.2">
      <c r="A129" t="s">
        <v>158</v>
      </c>
    </row>
    <row r="130" spans="1:1" x14ac:dyDescent="0.2">
      <c r="A130" t="s">
        <v>159</v>
      </c>
    </row>
    <row r="131" spans="1:1" x14ac:dyDescent="0.2">
      <c r="A131" t="s">
        <v>137</v>
      </c>
    </row>
    <row r="132" spans="1:1" x14ac:dyDescent="0.2">
      <c r="A132" t="s">
        <v>83</v>
      </c>
    </row>
    <row r="133" spans="1:1" x14ac:dyDescent="0.2">
      <c r="A133" t="s">
        <v>92</v>
      </c>
    </row>
    <row r="134" spans="1:1" x14ac:dyDescent="0.2">
      <c r="A134" t="s">
        <v>94</v>
      </c>
    </row>
    <row r="135" spans="1:1" x14ac:dyDescent="0.2">
      <c r="A135" t="s">
        <v>138</v>
      </c>
    </row>
    <row r="136" spans="1:1" x14ac:dyDescent="0.2">
      <c r="A136" t="s">
        <v>139</v>
      </c>
    </row>
    <row r="137" spans="1:1" x14ac:dyDescent="0.2">
      <c r="A137" t="s">
        <v>140</v>
      </c>
    </row>
    <row r="138" spans="1:1" x14ac:dyDescent="0.2">
      <c r="A138" t="s">
        <v>141</v>
      </c>
    </row>
    <row r="139" spans="1:1" x14ac:dyDescent="0.2">
      <c r="A139" t="s">
        <v>142</v>
      </c>
    </row>
    <row r="140" spans="1:1" x14ac:dyDescent="0.2">
      <c r="A140" t="s">
        <v>143</v>
      </c>
    </row>
    <row r="141" spans="1:1" x14ac:dyDescent="0.2">
      <c r="A141" t="s">
        <v>145</v>
      </c>
    </row>
    <row r="142" spans="1:1" x14ac:dyDescent="0.2">
      <c r="A142" t="s">
        <v>147</v>
      </c>
    </row>
    <row r="143" spans="1:1" x14ac:dyDescent="0.2">
      <c r="A143" t="s">
        <v>84</v>
      </c>
    </row>
    <row r="144" spans="1:1" x14ac:dyDescent="0.2">
      <c r="A144" t="s">
        <v>95</v>
      </c>
    </row>
    <row r="145" spans="1:1" x14ac:dyDescent="0.2">
      <c r="A145" t="s">
        <v>117</v>
      </c>
    </row>
    <row r="146" spans="1:1" x14ac:dyDescent="0.2">
      <c r="A146" t="s">
        <v>93</v>
      </c>
    </row>
    <row r="147" spans="1:1" x14ac:dyDescent="0.2">
      <c r="A147" t="s">
        <v>119</v>
      </c>
    </row>
    <row r="148" spans="1:1" x14ac:dyDescent="0.2">
      <c r="A148" t="s">
        <v>121</v>
      </c>
    </row>
    <row r="149" spans="1:1" x14ac:dyDescent="0.2">
      <c r="A149" t="s">
        <v>149</v>
      </c>
    </row>
    <row r="150" spans="1:1" x14ac:dyDescent="0.2">
      <c r="A150" t="s">
        <v>151</v>
      </c>
    </row>
    <row r="151" spans="1:1" x14ac:dyDescent="0.2">
      <c r="A151" t="s">
        <v>115</v>
      </c>
    </row>
    <row r="152" spans="1:1" x14ac:dyDescent="0.2">
      <c r="A152" t="s">
        <v>114</v>
      </c>
    </row>
    <row r="153" spans="1:1" x14ac:dyDescent="0.2">
      <c r="A153" t="s">
        <v>116</v>
      </c>
    </row>
    <row r="154" spans="1:1" x14ac:dyDescent="0.2">
      <c r="A154" t="s">
        <v>97</v>
      </c>
    </row>
    <row r="155" spans="1:1" x14ac:dyDescent="0.2">
      <c r="A155" t="s">
        <v>122</v>
      </c>
    </row>
    <row r="156" spans="1:1" x14ac:dyDescent="0.2">
      <c r="A156" t="s">
        <v>150</v>
      </c>
    </row>
    <row r="157" spans="1:1" x14ac:dyDescent="0.2">
      <c r="A157" t="s">
        <v>152</v>
      </c>
    </row>
    <row r="158" spans="1:1" x14ac:dyDescent="0.2">
      <c r="A158" t="s">
        <v>173</v>
      </c>
    </row>
    <row r="159" spans="1:1" x14ac:dyDescent="0.2">
      <c r="A159" t="s">
        <v>214</v>
      </c>
    </row>
    <row r="160" spans="1:1" x14ac:dyDescent="0.2">
      <c r="A160" t="s">
        <v>213</v>
      </c>
    </row>
    <row r="161" spans="1:1" x14ac:dyDescent="0.2">
      <c r="A161" t="s">
        <v>153</v>
      </c>
    </row>
    <row r="162" spans="1:1" x14ac:dyDescent="0.2">
      <c r="A162" t="s">
        <v>148</v>
      </c>
    </row>
    <row r="163" spans="1:1" x14ac:dyDescent="0.2">
      <c r="A163" t="s">
        <v>189</v>
      </c>
    </row>
    <row r="164" spans="1:1" x14ac:dyDescent="0.2">
      <c r="A164" t="s">
        <v>190</v>
      </c>
    </row>
    <row r="165" spans="1:1" x14ac:dyDescent="0.2">
      <c r="A165" t="s">
        <v>191</v>
      </c>
    </row>
    <row r="166" spans="1:1" x14ac:dyDescent="0.2">
      <c r="A166" t="s">
        <v>192</v>
      </c>
    </row>
    <row r="167" spans="1:1" x14ac:dyDescent="0.2">
      <c r="A167" t="s">
        <v>193</v>
      </c>
    </row>
    <row r="168" spans="1:1" x14ac:dyDescent="0.2">
      <c r="A168" t="s">
        <v>194</v>
      </c>
    </row>
    <row r="169" spans="1:1" x14ac:dyDescent="0.2">
      <c r="A169" t="s">
        <v>195</v>
      </c>
    </row>
    <row r="170" spans="1:1" x14ac:dyDescent="0.2">
      <c r="A170" t="s">
        <v>196</v>
      </c>
    </row>
    <row r="171" spans="1:1" x14ac:dyDescent="0.2">
      <c r="A171" t="s">
        <v>197</v>
      </c>
    </row>
    <row r="172" spans="1:1" x14ac:dyDescent="0.2">
      <c r="A172" t="s">
        <v>198</v>
      </c>
    </row>
    <row r="173" spans="1:1" x14ac:dyDescent="0.2">
      <c r="A173" t="s">
        <v>199</v>
      </c>
    </row>
    <row r="174" spans="1:1" x14ac:dyDescent="0.2">
      <c r="A174" t="s">
        <v>200</v>
      </c>
    </row>
    <row r="175" spans="1:1" x14ac:dyDescent="0.2">
      <c r="A175" t="s">
        <v>201</v>
      </c>
    </row>
    <row r="176" spans="1:1" x14ac:dyDescent="0.2">
      <c r="A176" t="s">
        <v>202</v>
      </c>
    </row>
    <row r="177" spans="1:1" x14ac:dyDescent="0.2">
      <c r="A177" t="s">
        <v>203</v>
      </c>
    </row>
    <row r="178" spans="1:1" x14ac:dyDescent="0.2">
      <c r="A178" t="s">
        <v>204</v>
      </c>
    </row>
    <row r="179" spans="1:1" x14ac:dyDescent="0.2">
      <c r="A179" t="s">
        <v>205</v>
      </c>
    </row>
    <row r="180" spans="1:1" x14ac:dyDescent="0.2">
      <c r="A180" t="s">
        <v>206</v>
      </c>
    </row>
    <row r="181" spans="1:1" x14ac:dyDescent="0.2">
      <c r="A181" t="s">
        <v>207</v>
      </c>
    </row>
    <row r="182" spans="1:1" x14ac:dyDescent="0.2">
      <c r="A182" t="s">
        <v>208</v>
      </c>
    </row>
    <row r="183" spans="1:1" x14ac:dyDescent="0.2">
      <c r="A183" t="s">
        <v>209</v>
      </c>
    </row>
    <row r="184" spans="1:1" x14ac:dyDescent="0.2">
      <c r="A184" t="s">
        <v>210</v>
      </c>
    </row>
    <row r="185" spans="1:1" x14ac:dyDescent="0.2">
      <c r="A185" t="s">
        <v>211</v>
      </c>
    </row>
    <row r="186" spans="1:1" x14ac:dyDescent="0.2">
      <c r="A186" t="s">
        <v>174</v>
      </c>
    </row>
    <row r="187" spans="1:1" x14ac:dyDescent="0.2">
      <c r="A187" t="s">
        <v>75</v>
      </c>
    </row>
    <row r="188" spans="1:1" x14ac:dyDescent="0.2">
      <c r="A188" t="s">
        <v>76</v>
      </c>
    </row>
    <row r="189" spans="1:1" x14ac:dyDescent="0.2">
      <c r="A189" t="s">
        <v>98</v>
      </c>
    </row>
    <row r="190" spans="1:1" x14ac:dyDescent="0.2">
      <c r="A190" t="s">
        <v>100</v>
      </c>
    </row>
    <row r="191" spans="1:1" x14ac:dyDescent="0.2">
      <c r="A191" t="s">
        <v>109</v>
      </c>
    </row>
    <row r="192" spans="1:1" x14ac:dyDescent="0.2">
      <c r="A192" t="s">
        <v>112</v>
      </c>
    </row>
    <row r="193" spans="1:1" x14ac:dyDescent="0.2">
      <c r="A193" t="s">
        <v>175</v>
      </c>
    </row>
    <row r="194" spans="1:1" x14ac:dyDescent="0.2">
      <c r="A194" t="s">
        <v>176</v>
      </c>
    </row>
    <row r="195" spans="1:1" x14ac:dyDescent="0.2">
      <c r="A195" t="s">
        <v>177</v>
      </c>
    </row>
    <row r="196" spans="1:1" x14ac:dyDescent="0.2">
      <c r="A196" t="s">
        <v>124</v>
      </c>
    </row>
    <row r="197" spans="1:1" x14ac:dyDescent="0.2">
      <c r="A197" t="s">
        <v>80</v>
      </c>
    </row>
    <row r="198" spans="1:1" x14ac:dyDescent="0.2">
      <c r="A198" t="s">
        <v>183</v>
      </c>
    </row>
    <row r="199" spans="1:1" x14ac:dyDescent="0.2">
      <c r="A199" t="s">
        <v>184</v>
      </c>
    </row>
    <row r="200" spans="1:1" x14ac:dyDescent="0.2">
      <c r="A200" t="s">
        <v>185</v>
      </c>
    </row>
    <row r="201" spans="1:1" x14ac:dyDescent="0.2">
      <c r="A201" t="s">
        <v>186</v>
      </c>
    </row>
    <row r="202" spans="1:1" x14ac:dyDescent="0.2">
      <c r="A202" t="s">
        <v>187</v>
      </c>
    </row>
    <row r="203" spans="1:1" x14ac:dyDescent="0.2">
      <c r="A203" t="s">
        <v>188</v>
      </c>
    </row>
    <row r="204" spans="1:1" x14ac:dyDescent="0.2">
      <c r="A204" t="s">
        <v>144</v>
      </c>
    </row>
  </sheetData>
  <phoneticPr fontId="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"/>
  <sheetViews>
    <sheetView topLeftCell="H1" workbookViewId="0">
      <selection activeCell="AG5" sqref="AG5"/>
    </sheetView>
  </sheetViews>
  <sheetFormatPr defaultColWidth="8.7109375" defaultRowHeight="12.75" x14ac:dyDescent="0.2"/>
  <cols>
    <col min="1" max="1" width="44" customWidth="1"/>
    <col min="2" max="32" width="7.28515625" customWidth="1"/>
  </cols>
  <sheetData>
    <row r="1" spans="1:32" ht="46.5" x14ac:dyDescent="0.2">
      <c r="A1" s="7" t="s">
        <v>0</v>
      </c>
      <c r="B1" s="6">
        <v>45901</v>
      </c>
      <c r="C1" s="6">
        <v>45902</v>
      </c>
      <c r="D1" s="6">
        <v>45903</v>
      </c>
      <c r="E1" s="6">
        <v>45904</v>
      </c>
      <c r="F1" s="6">
        <v>45905</v>
      </c>
      <c r="G1" s="6">
        <v>45906</v>
      </c>
      <c r="H1" s="6">
        <v>45907</v>
      </c>
      <c r="I1" s="6">
        <v>45908</v>
      </c>
      <c r="J1" s="6">
        <v>45909</v>
      </c>
      <c r="K1" s="6">
        <v>45910</v>
      </c>
      <c r="L1" s="6">
        <v>45911</v>
      </c>
      <c r="M1" s="6">
        <v>45912</v>
      </c>
      <c r="N1" s="6">
        <v>45913</v>
      </c>
      <c r="O1" s="6">
        <v>45914</v>
      </c>
      <c r="P1" s="6">
        <v>45915</v>
      </c>
      <c r="Q1" s="6">
        <v>45916</v>
      </c>
      <c r="R1" s="6">
        <v>45917</v>
      </c>
      <c r="S1" s="6">
        <v>45918</v>
      </c>
      <c r="T1" s="6">
        <v>45919</v>
      </c>
      <c r="U1" s="6">
        <v>45920</v>
      </c>
      <c r="V1" s="6">
        <v>45921</v>
      </c>
      <c r="W1" s="6">
        <v>45922</v>
      </c>
      <c r="X1" s="6">
        <v>45923</v>
      </c>
      <c r="Y1" s="6">
        <v>45924</v>
      </c>
      <c r="Z1" s="6">
        <v>45925</v>
      </c>
      <c r="AA1" s="6">
        <v>45926</v>
      </c>
      <c r="AB1" s="6">
        <v>45927</v>
      </c>
      <c r="AC1" s="6">
        <v>45928</v>
      </c>
      <c r="AD1" s="6">
        <v>45929</v>
      </c>
      <c r="AE1" s="6">
        <v>45930</v>
      </c>
      <c r="AF1" s="6">
        <v>45931</v>
      </c>
    </row>
    <row r="2" spans="1:32" ht="15.75" x14ac:dyDescent="0.2">
      <c r="A2" s="5" t="s">
        <v>338</v>
      </c>
      <c r="B2" s="71"/>
      <c r="C2" s="71">
        <v>818</v>
      </c>
      <c r="D2" s="71">
        <v>1807</v>
      </c>
      <c r="E2" s="71">
        <v>2015</v>
      </c>
      <c r="F2" s="71">
        <v>1806</v>
      </c>
      <c r="G2" s="71"/>
      <c r="H2" s="71">
        <v>1310</v>
      </c>
      <c r="I2" s="71">
        <v>1189</v>
      </c>
      <c r="J2" s="71">
        <v>1740</v>
      </c>
      <c r="K2" s="71">
        <v>929</v>
      </c>
      <c r="L2" s="71">
        <v>1595</v>
      </c>
      <c r="M2" s="71">
        <v>1495</v>
      </c>
      <c r="N2" s="71">
        <v>1517</v>
      </c>
      <c r="O2" s="71">
        <v>770</v>
      </c>
      <c r="P2" s="71">
        <v>2011</v>
      </c>
      <c r="Q2" s="71">
        <v>1859</v>
      </c>
      <c r="R2" s="69">
        <v>1800</v>
      </c>
      <c r="S2" s="69">
        <v>1362</v>
      </c>
      <c r="T2" s="69">
        <v>1683</v>
      </c>
      <c r="U2" s="69">
        <v>1535</v>
      </c>
      <c r="V2" s="69">
        <v>799</v>
      </c>
      <c r="W2" s="69">
        <v>1820</v>
      </c>
      <c r="X2" s="69">
        <v>1481</v>
      </c>
      <c r="Y2" s="69">
        <v>1654</v>
      </c>
      <c r="Z2" s="69">
        <v>2012</v>
      </c>
      <c r="AA2" s="69">
        <v>1754</v>
      </c>
      <c r="AB2" s="69">
        <v>1893</v>
      </c>
      <c r="AC2" s="69">
        <v>1442</v>
      </c>
      <c r="AD2" s="69">
        <v>1553</v>
      </c>
      <c r="AE2" s="69">
        <v>253</v>
      </c>
      <c r="AF2" s="69"/>
    </row>
    <row r="3" spans="1:32" ht="15.75" x14ac:dyDescent="0.2">
      <c r="A3" s="5" t="s">
        <v>296</v>
      </c>
      <c r="B3" s="71"/>
      <c r="C3" s="71">
        <v>331</v>
      </c>
      <c r="D3" s="71">
        <v>1041</v>
      </c>
      <c r="E3" s="71">
        <v>955</v>
      </c>
      <c r="F3" s="71">
        <v>396</v>
      </c>
      <c r="G3" s="71"/>
      <c r="H3" s="71">
        <v>771</v>
      </c>
      <c r="I3" s="71">
        <v>537</v>
      </c>
      <c r="J3" s="71">
        <v>1075</v>
      </c>
      <c r="K3" s="71">
        <v>466</v>
      </c>
      <c r="L3" s="71">
        <v>881</v>
      </c>
      <c r="M3" s="71">
        <v>766</v>
      </c>
      <c r="N3" s="71">
        <v>726</v>
      </c>
      <c r="O3" s="71">
        <v>300</v>
      </c>
      <c r="P3" s="71">
        <v>876</v>
      </c>
      <c r="Q3" s="71">
        <v>978</v>
      </c>
      <c r="R3" s="69">
        <v>1037</v>
      </c>
      <c r="S3" s="69">
        <v>816</v>
      </c>
      <c r="T3" s="69">
        <v>0</v>
      </c>
      <c r="U3" s="69">
        <v>881</v>
      </c>
      <c r="V3" s="69">
        <v>369</v>
      </c>
      <c r="W3" s="69">
        <v>495</v>
      </c>
      <c r="X3" s="69">
        <v>704</v>
      </c>
      <c r="Y3" s="69">
        <v>955</v>
      </c>
      <c r="Z3" s="69">
        <v>248</v>
      </c>
      <c r="AA3" s="69">
        <v>510</v>
      </c>
      <c r="AB3" s="69">
        <v>706</v>
      </c>
      <c r="AC3" s="69">
        <v>652</v>
      </c>
      <c r="AD3" s="69">
        <v>932</v>
      </c>
      <c r="AE3" s="69">
        <v>154</v>
      </c>
      <c r="AF3" s="69"/>
    </row>
    <row r="4" spans="1:32" ht="15.75" x14ac:dyDescent="0.2">
      <c r="A4" s="5" t="s">
        <v>324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</row>
    <row r="5" spans="1:32" ht="15.75" x14ac:dyDescent="0.2">
      <c r="A5" s="5" t="s">
        <v>336</v>
      </c>
      <c r="B5" s="71"/>
      <c r="C5" s="71">
        <v>623</v>
      </c>
      <c r="D5" s="71">
        <v>370</v>
      </c>
      <c r="E5" s="71">
        <v>580</v>
      </c>
      <c r="F5" s="71">
        <v>300</v>
      </c>
      <c r="G5" s="71"/>
      <c r="H5" s="71">
        <v>448</v>
      </c>
      <c r="I5" s="71">
        <v>400</v>
      </c>
      <c r="J5" s="71">
        <v>347</v>
      </c>
      <c r="K5" s="71">
        <v>473</v>
      </c>
      <c r="L5" s="71">
        <v>432</v>
      </c>
      <c r="M5" s="71">
        <v>550</v>
      </c>
      <c r="N5" s="71">
        <v>670</v>
      </c>
      <c r="O5" s="71">
        <v>260</v>
      </c>
      <c r="P5" s="71">
        <v>711</v>
      </c>
      <c r="Q5" s="71">
        <v>749</v>
      </c>
      <c r="R5" s="69">
        <v>192</v>
      </c>
      <c r="S5" s="69">
        <v>560</v>
      </c>
      <c r="T5" s="69">
        <v>804</v>
      </c>
      <c r="U5" s="69">
        <v>821</v>
      </c>
      <c r="V5" s="69">
        <v>0</v>
      </c>
      <c r="W5" s="69">
        <v>635</v>
      </c>
      <c r="X5" s="69">
        <v>271</v>
      </c>
      <c r="Y5" s="69">
        <v>150</v>
      </c>
      <c r="Z5" s="69">
        <v>130</v>
      </c>
      <c r="AA5" s="69">
        <v>442</v>
      </c>
      <c r="AB5" s="69">
        <v>550</v>
      </c>
      <c r="AC5" s="69">
        <v>130</v>
      </c>
      <c r="AD5" s="69">
        <v>740</v>
      </c>
      <c r="AE5" s="69">
        <v>340</v>
      </c>
      <c r="AF5" s="69"/>
    </row>
    <row r="6" spans="1:32" ht="15.75" x14ac:dyDescent="0.2">
      <c r="A6" s="5" t="s">
        <v>337</v>
      </c>
      <c r="B6" s="71"/>
      <c r="C6" s="71">
        <v>1028</v>
      </c>
      <c r="D6" s="71">
        <v>672</v>
      </c>
      <c r="E6" s="71">
        <v>796</v>
      </c>
      <c r="F6" s="71">
        <v>646</v>
      </c>
      <c r="G6" s="71"/>
      <c r="H6" s="71">
        <v>504</v>
      </c>
      <c r="I6" s="71">
        <v>726</v>
      </c>
      <c r="J6" s="71">
        <v>796</v>
      </c>
      <c r="K6" s="71">
        <v>472</v>
      </c>
      <c r="L6" s="71">
        <v>554</v>
      </c>
      <c r="M6" s="71">
        <v>392</v>
      </c>
      <c r="N6" s="71">
        <v>1202</v>
      </c>
      <c r="O6" s="71">
        <v>366</v>
      </c>
      <c r="P6" s="71">
        <v>541</v>
      </c>
      <c r="Q6" s="71">
        <v>1123</v>
      </c>
      <c r="R6" s="69">
        <v>652</v>
      </c>
      <c r="S6" s="69">
        <v>1002</v>
      </c>
      <c r="T6" s="69">
        <v>1092</v>
      </c>
      <c r="U6" s="69">
        <v>462</v>
      </c>
      <c r="V6" s="69">
        <v>0</v>
      </c>
      <c r="W6" s="69">
        <v>1068</v>
      </c>
      <c r="X6" s="69">
        <v>487</v>
      </c>
      <c r="Y6" s="69">
        <v>1376</v>
      </c>
      <c r="Z6" s="69">
        <v>576</v>
      </c>
      <c r="AA6" s="69">
        <v>622</v>
      </c>
      <c r="AB6" s="69">
        <v>710</v>
      </c>
      <c r="AC6" s="69">
        <v>1022</v>
      </c>
      <c r="AD6" s="69">
        <v>599</v>
      </c>
      <c r="AE6" s="69">
        <v>774</v>
      </c>
      <c r="AF6" s="69"/>
    </row>
    <row r="7" spans="1:32" ht="15.75" x14ac:dyDescent="0.2">
      <c r="A7" s="5" t="s">
        <v>339</v>
      </c>
      <c r="B7" s="71"/>
      <c r="C7" s="71">
        <v>690</v>
      </c>
      <c r="D7" s="71">
        <v>805</v>
      </c>
      <c r="E7" s="71">
        <v>700</v>
      </c>
      <c r="F7" s="71">
        <v>756</v>
      </c>
      <c r="G7" s="71"/>
      <c r="H7" s="71">
        <v>756</v>
      </c>
      <c r="I7" s="71">
        <v>743</v>
      </c>
      <c r="J7" s="71">
        <v>770</v>
      </c>
      <c r="K7" s="71">
        <v>761</v>
      </c>
      <c r="L7" s="71">
        <v>847</v>
      </c>
      <c r="M7" s="71">
        <v>789</v>
      </c>
      <c r="N7" s="71">
        <v>803</v>
      </c>
      <c r="O7" s="71">
        <v>0</v>
      </c>
      <c r="P7" s="71">
        <v>783</v>
      </c>
      <c r="Q7" s="71">
        <v>814</v>
      </c>
      <c r="R7" s="69">
        <v>755</v>
      </c>
      <c r="S7" s="69">
        <v>857</v>
      </c>
      <c r="T7" s="69">
        <v>777</v>
      </c>
      <c r="U7" s="69">
        <v>651</v>
      </c>
      <c r="V7" s="69">
        <v>0</v>
      </c>
      <c r="W7" s="69">
        <v>651</v>
      </c>
      <c r="X7" s="69">
        <v>676</v>
      </c>
      <c r="Y7" s="69">
        <v>798</v>
      </c>
      <c r="Z7" s="69">
        <v>620</v>
      </c>
      <c r="AA7" s="69">
        <v>710</v>
      </c>
      <c r="AB7" s="69">
        <v>482</v>
      </c>
      <c r="AC7" s="69">
        <v>0</v>
      </c>
      <c r="AD7" s="69">
        <v>620</v>
      </c>
      <c r="AE7" s="69">
        <v>300</v>
      </c>
      <c r="AF7" s="69"/>
    </row>
    <row r="8" spans="1:32" ht="15.75" x14ac:dyDescent="0.2">
      <c r="A8" s="5" t="s">
        <v>294</v>
      </c>
      <c r="B8" s="71"/>
      <c r="C8" s="71">
        <v>665</v>
      </c>
      <c r="D8" s="71">
        <v>706</v>
      </c>
      <c r="E8" s="71">
        <v>732</v>
      </c>
      <c r="F8" s="71">
        <v>946</v>
      </c>
      <c r="G8" s="71"/>
      <c r="H8" s="71">
        <v>865</v>
      </c>
      <c r="I8" s="71">
        <v>884</v>
      </c>
      <c r="J8" s="71">
        <v>880</v>
      </c>
      <c r="K8" s="71">
        <v>367</v>
      </c>
      <c r="L8" s="71">
        <v>584</v>
      </c>
      <c r="M8" s="71">
        <v>822</v>
      </c>
      <c r="N8" s="71">
        <v>430</v>
      </c>
      <c r="O8" s="71">
        <v>0</v>
      </c>
      <c r="P8" s="71">
        <v>848</v>
      </c>
      <c r="Q8" s="71">
        <v>782</v>
      </c>
      <c r="R8" s="69">
        <v>922</v>
      </c>
      <c r="S8" s="69">
        <v>808</v>
      </c>
      <c r="T8" s="69">
        <v>692</v>
      </c>
      <c r="U8" s="69">
        <v>536</v>
      </c>
      <c r="V8" s="69">
        <v>0</v>
      </c>
      <c r="W8" s="69">
        <v>507</v>
      </c>
      <c r="X8" s="69">
        <v>671</v>
      </c>
      <c r="Y8" s="69">
        <v>796</v>
      </c>
      <c r="Z8" s="69">
        <v>619</v>
      </c>
      <c r="AA8" s="69">
        <v>710</v>
      </c>
      <c r="AB8" s="69">
        <v>480</v>
      </c>
      <c r="AC8" s="69">
        <v>0</v>
      </c>
      <c r="AD8" s="69">
        <v>643</v>
      </c>
      <c r="AE8" s="69">
        <v>300</v>
      </c>
      <c r="AF8" s="69"/>
    </row>
    <row r="9" spans="1:32" ht="15.75" x14ac:dyDescent="0.2">
      <c r="A9" s="5" t="s">
        <v>293</v>
      </c>
      <c r="B9" s="71"/>
      <c r="C9" s="71">
        <v>230</v>
      </c>
      <c r="D9" s="71">
        <v>813</v>
      </c>
      <c r="E9" s="71">
        <v>1030</v>
      </c>
      <c r="F9" s="71">
        <v>915</v>
      </c>
      <c r="G9" s="71"/>
      <c r="H9" s="71">
        <v>985</v>
      </c>
      <c r="I9" s="71">
        <v>850</v>
      </c>
      <c r="J9" s="71">
        <v>900</v>
      </c>
      <c r="K9" s="71">
        <v>840</v>
      </c>
      <c r="L9" s="71">
        <v>1013</v>
      </c>
      <c r="M9" s="71">
        <v>470</v>
      </c>
      <c r="N9" s="71">
        <v>0</v>
      </c>
      <c r="O9" s="71">
        <v>0</v>
      </c>
      <c r="P9" s="71">
        <v>0</v>
      </c>
      <c r="Q9" s="71">
        <v>0</v>
      </c>
      <c r="R9" s="69">
        <v>0</v>
      </c>
      <c r="S9" s="69">
        <v>315</v>
      </c>
      <c r="T9" s="69">
        <v>430</v>
      </c>
      <c r="U9" s="69">
        <v>80</v>
      </c>
      <c r="V9" s="69">
        <v>0</v>
      </c>
      <c r="W9" s="69">
        <v>80</v>
      </c>
      <c r="X9" s="69">
        <v>602</v>
      </c>
      <c r="Y9" s="69">
        <v>130</v>
      </c>
      <c r="Z9" s="69">
        <v>0</v>
      </c>
      <c r="AA9" s="69">
        <v>0</v>
      </c>
      <c r="AB9" s="69">
        <v>0</v>
      </c>
      <c r="AC9" s="69">
        <v>0</v>
      </c>
      <c r="AD9" s="69">
        <v>0</v>
      </c>
      <c r="AE9" s="69">
        <v>0</v>
      </c>
      <c r="AF9" s="69"/>
    </row>
    <row r="10" spans="1:32" ht="15.75" x14ac:dyDescent="0.2">
      <c r="A10" s="5" t="s">
        <v>344</v>
      </c>
      <c r="B10" s="71"/>
      <c r="C10" s="71">
        <v>698</v>
      </c>
      <c r="D10" s="71">
        <v>1133</v>
      </c>
      <c r="E10" s="71">
        <v>1139</v>
      </c>
      <c r="F10" s="71">
        <v>1169</v>
      </c>
      <c r="G10" s="71"/>
      <c r="H10" s="71">
        <v>0</v>
      </c>
      <c r="I10" s="71">
        <v>433</v>
      </c>
      <c r="J10" s="71">
        <v>1200</v>
      </c>
      <c r="K10" s="71">
        <v>1170</v>
      </c>
      <c r="L10" s="71">
        <v>1068</v>
      </c>
      <c r="M10" s="71">
        <v>1124</v>
      </c>
      <c r="N10" s="71">
        <v>1280</v>
      </c>
      <c r="O10" s="71">
        <v>0</v>
      </c>
      <c r="P10" s="71">
        <v>1106</v>
      </c>
      <c r="Q10" s="71">
        <v>1140</v>
      </c>
      <c r="R10" s="69">
        <v>1225</v>
      </c>
      <c r="S10" s="69">
        <v>1190</v>
      </c>
      <c r="T10" s="69">
        <v>675</v>
      </c>
      <c r="U10" s="69">
        <v>890</v>
      </c>
      <c r="V10" s="69">
        <v>425</v>
      </c>
      <c r="W10" s="69">
        <v>968</v>
      </c>
      <c r="X10" s="69">
        <v>1255</v>
      </c>
      <c r="Y10" s="69">
        <v>1271</v>
      </c>
      <c r="Z10" s="69">
        <v>1191</v>
      </c>
      <c r="AA10" s="69">
        <v>1415</v>
      </c>
      <c r="AB10" s="69">
        <v>1305</v>
      </c>
      <c r="AC10" s="69">
        <v>1010</v>
      </c>
      <c r="AD10" s="69">
        <v>1353</v>
      </c>
      <c r="AE10" s="69">
        <v>210</v>
      </c>
      <c r="AF10" s="69"/>
    </row>
    <row r="11" spans="1:32" ht="15.75" x14ac:dyDescent="0.2">
      <c r="A11" s="5" t="s">
        <v>345</v>
      </c>
      <c r="B11" s="71"/>
      <c r="C11" s="71">
        <v>991</v>
      </c>
      <c r="D11" s="71">
        <v>1010</v>
      </c>
      <c r="E11" s="71">
        <v>1005</v>
      </c>
      <c r="F11" s="71">
        <v>603</v>
      </c>
      <c r="G11" s="71"/>
      <c r="H11" s="71">
        <v>0</v>
      </c>
      <c r="I11" s="71">
        <v>0</v>
      </c>
      <c r="J11" s="71">
        <v>1074</v>
      </c>
      <c r="K11" s="71">
        <v>880</v>
      </c>
      <c r="L11" s="71">
        <v>1068</v>
      </c>
      <c r="M11" s="71">
        <v>520</v>
      </c>
      <c r="N11" s="71">
        <v>846</v>
      </c>
      <c r="O11" s="71">
        <v>567</v>
      </c>
      <c r="P11" s="71">
        <v>1011</v>
      </c>
      <c r="Q11" s="71">
        <v>1099</v>
      </c>
      <c r="R11" s="69">
        <v>1105</v>
      </c>
      <c r="S11" s="69">
        <v>1091</v>
      </c>
      <c r="T11" s="69">
        <v>0</v>
      </c>
      <c r="U11" s="69">
        <v>751</v>
      </c>
      <c r="V11" s="69">
        <v>275</v>
      </c>
      <c r="W11" s="69">
        <v>865</v>
      </c>
      <c r="X11" s="69">
        <v>1169</v>
      </c>
      <c r="Y11" s="69">
        <v>1267</v>
      </c>
      <c r="Z11" s="69">
        <v>1125</v>
      </c>
      <c r="AA11" s="69">
        <v>1395</v>
      </c>
      <c r="AB11" s="69">
        <v>1371</v>
      </c>
      <c r="AC11" s="69">
        <v>782</v>
      </c>
      <c r="AD11" s="69">
        <v>970</v>
      </c>
      <c r="AE11" s="69">
        <v>0</v>
      </c>
      <c r="AF11" s="69"/>
    </row>
    <row r="12" spans="1:32" ht="15.75" x14ac:dyDescent="0.2">
      <c r="A12" s="5" t="s">
        <v>346</v>
      </c>
      <c r="B12" s="71"/>
      <c r="C12" s="71">
        <v>700</v>
      </c>
      <c r="D12" s="71">
        <v>742</v>
      </c>
      <c r="E12" s="71">
        <v>835</v>
      </c>
      <c r="F12" s="71">
        <v>1223</v>
      </c>
      <c r="G12" s="71"/>
      <c r="H12" s="71">
        <v>1125</v>
      </c>
      <c r="I12" s="71">
        <v>1000</v>
      </c>
      <c r="J12" s="71">
        <v>497</v>
      </c>
      <c r="K12" s="71">
        <v>436</v>
      </c>
      <c r="L12" s="71">
        <v>214</v>
      </c>
      <c r="M12" s="71">
        <v>380</v>
      </c>
      <c r="N12" s="71">
        <v>1208</v>
      </c>
      <c r="O12" s="71">
        <v>450</v>
      </c>
      <c r="P12" s="71">
        <v>543</v>
      </c>
      <c r="Q12" s="71">
        <v>1100</v>
      </c>
      <c r="R12" s="69">
        <v>440</v>
      </c>
      <c r="S12" s="69">
        <v>374</v>
      </c>
      <c r="T12" s="69">
        <v>0</v>
      </c>
      <c r="U12" s="69">
        <v>1155</v>
      </c>
      <c r="V12" s="69">
        <v>264</v>
      </c>
      <c r="W12" s="69">
        <v>820</v>
      </c>
      <c r="X12" s="69">
        <v>1440</v>
      </c>
      <c r="Y12" s="69">
        <v>890</v>
      </c>
      <c r="Z12" s="69">
        <v>0</v>
      </c>
      <c r="AA12" s="69">
        <v>700</v>
      </c>
      <c r="AB12" s="69">
        <v>980</v>
      </c>
      <c r="AC12" s="69">
        <v>0</v>
      </c>
      <c r="AD12" s="69">
        <v>995</v>
      </c>
      <c r="AE12" s="69">
        <v>0</v>
      </c>
      <c r="AF12" s="69"/>
    </row>
    <row r="13" spans="1:32" ht="15.75" x14ac:dyDescent="0.2">
      <c r="A13" s="5" t="s">
        <v>340</v>
      </c>
      <c r="B13" s="71"/>
      <c r="C13" s="71">
        <v>0</v>
      </c>
      <c r="D13" s="71">
        <v>0</v>
      </c>
      <c r="E13" s="71">
        <v>0</v>
      </c>
      <c r="F13" s="71">
        <v>0</v>
      </c>
      <c r="G13" s="71"/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69">
        <v>0</v>
      </c>
      <c r="S13" s="69">
        <v>0</v>
      </c>
      <c r="T13" s="69">
        <v>0</v>
      </c>
      <c r="U13" s="69">
        <v>0</v>
      </c>
      <c r="V13" s="69">
        <v>0</v>
      </c>
      <c r="W13" s="69">
        <v>0</v>
      </c>
      <c r="X13" s="69">
        <v>0</v>
      </c>
      <c r="Y13" s="69">
        <v>0</v>
      </c>
      <c r="Z13" s="69">
        <v>0</v>
      </c>
      <c r="AA13" s="69">
        <v>0</v>
      </c>
      <c r="AB13" s="69">
        <v>0</v>
      </c>
      <c r="AC13" s="69">
        <v>0</v>
      </c>
      <c r="AD13" s="69">
        <v>0</v>
      </c>
      <c r="AE13" s="69">
        <v>0</v>
      </c>
      <c r="AF13" s="69"/>
    </row>
    <row r="14" spans="1:32" ht="15.75" x14ac:dyDescent="0.2">
      <c r="A14" s="5" t="s">
        <v>301</v>
      </c>
      <c r="B14" s="71"/>
      <c r="C14" s="71">
        <v>0</v>
      </c>
      <c r="D14" s="71">
        <v>0</v>
      </c>
      <c r="E14" s="71">
        <v>0</v>
      </c>
      <c r="F14" s="71">
        <v>0</v>
      </c>
      <c r="G14" s="71"/>
      <c r="H14" s="71">
        <v>0</v>
      </c>
      <c r="I14" s="71">
        <v>175</v>
      </c>
      <c r="J14" s="71">
        <v>360</v>
      </c>
      <c r="K14" s="71">
        <v>246</v>
      </c>
      <c r="L14" s="71">
        <v>0</v>
      </c>
      <c r="M14" s="71">
        <v>619</v>
      </c>
      <c r="N14" s="71">
        <v>0</v>
      </c>
      <c r="O14" s="71">
        <v>0</v>
      </c>
      <c r="P14" s="71">
        <v>0</v>
      </c>
      <c r="Q14" s="71">
        <v>0</v>
      </c>
      <c r="R14" s="69">
        <v>593</v>
      </c>
      <c r="S14" s="69">
        <v>400</v>
      </c>
      <c r="T14" s="69">
        <v>460</v>
      </c>
      <c r="U14" s="69">
        <v>204</v>
      </c>
      <c r="V14" s="69">
        <v>0</v>
      </c>
      <c r="W14" s="69">
        <v>105</v>
      </c>
      <c r="X14" s="69">
        <v>213</v>
      </c>
      <c r="Y14" s="69">
        <v>0</v>
      </c>
      <c r="Z14" s="69">
        <v>0</v>
      </c>
      <c r="AA14" s="69">
        <v>0</v>
      </c>
      <c r="AB14" s="69">
        <v>0</v>
      </c>
      <c r="AC14" s="69">
        <v>0</v>
      </c>
      <c r="AD14" s="69">
        <v>0</v>
      </c>
      <c r="AE14" s="69">
        <v>0</v>
      </c>
      <c r="AF14" s="69"/>
    </row>
    <row r="15" spans="1:32" ht="15.75" x14ac:dyDescent="0.2">
      <c r="A15" s="5" t="s">
        <v>292</v>
      </c>
      <c r="B15" s="71"/>
      <c r="C15" s="71">
        <v>0</v>
      </c>
      <c r="D15" s="71">
        <v>597</v>
      </c>
      <c r="E15" s="71">
        <v>628</v>
      </c>
      <c r="F15" s="71">
        <v>913</v>
      </c>
      <c r="G15" s="71"/>
      <c r="H15" s="71">
        <v>523</v>
      </c>
      <c r="I15" s="71">
        <v>0</v>
      </c>
      <c r="J15" s="71">
        <v>1004</v>
      </c>
      <c r="K15" s="71">
        <v>1157</v>
      </c>
      <c r="L15" s="71">
        <v>0</v>
      </c>
      <c r="M15" s="71">
        <v>1046</v>
      </c>
      <c r="N15" s="71">
        <v>0</v>
      </c>
      <c r="O15" s="71">
        <v>744</v>
      </c>
      <c r="P15" s="71">
        <v>1089</v>
      </c>
      <c r="Q15" s="71">
        <v>1083</v>
      </c>
      <c r="R15" s="69">
        <v>960</v>
      </c>
      <c r="S15" s="69">
        <v>958</v>
      </c>
      <c r="T15" s="69">
        <v>345</v>
      </c>
      <c r="U15" s="69">
        <v>801</v>
      </c>
      <c r="V15" s="69">
        <v>0</v>
      </c>
      <c r="W15" s="69">
        <v>1235</v>
      </c>
      <c r="X15" s="69">
        <v>1167</v>
      </c>
      <c r="Y15" s="69">
        <v>925</v>
      </c>
      <c r="Z15" s="69">
        <v>400</v>
      </c>
      <c r="AA15" s="69">
        <v>517</v>
      </c>
      <c r="AB15" s="69">
        <v>1125</v>
      </c>
      <c r="AC15" s="69">
        <v>1063</v>
      </c>
      <c r="AD15" s="69">
        <v>764</v>
      </c>
      <c r="AE15" s="69">
        <v>684</v>
      </c>
      <c r="AF15" s="69"/>
    </row>
    <row r="16" spans="1:32" ht="15.75" x14ac:dyDescent="0.2">
      <c r="A16" s="5" t="s">
        <v>347</v>
      </c>
      <c r="B16" s="71"/>
      <c r="C16" s="71">
        <v>1159</v>
      </c>
      <c r="D16" s="71">
        <v>918</v>
      </c>
      <c r="E16" s="71">
        <v>1274</v>
      </c>
      <c r="F16" s="71">
        <v>1216</v>
      </c>
      <c r="G16" s="71"/>
      <c r="H16" s="71">
        <v>1170</v>
      </c>
      <c r="I16" s="71">
        <v>1055</v>
      </c>
      <c r="J16" s="71">
        <v>567</v>
      </c>
      <c r="K16" s="71">
        <v>589</v>
      </c>
      <c r="L16" s="71">
        <v>800</v>
      </c>
      <c r="M16" s="71">
        <v>555</v>
      </c>
      <c r="N16" s="71">
        <v>858</v>
      </c>
      <c r="O16" s="71">
        <v>512</v>
      </c>
      <c r="P16" s="71">
        <v>632</v>
      </c>
      <c r="Q16" s="71">
        <v>1264</v>
      </c>
      <c r="R16" s="70">
        <v>1055</v>
      </c>
      <c r="S16" s="70">
        <v>850</v>
      </c>
      <c r="T16" s="70">
        <v>960</v>
      </c>
      <c r="U16" s="70">
        <v>440</v>
      </c>
      <c r="V16" s="70">
        <v>0</v>
      </c>
      <c r="W16" s="70">
        <v>1236</v>
      </c>
      <c r="X16" s="70">
        <v>841</v>
      </c>
      <c r="Y16" s="70">
        <v>791</v>
      </c>
      <c r="Z16" s="70">
        <v>568</v>
      </c>
      <c r="AA16" s="70">
        <v>846</v>
      </c>
      <c r="AB16" s="70">
        <v>710</v>
      </c>
      <c r="AC16" s="70">
        <v>936</v>
      </c>
      <c r="AD16" s="70">
        <v>617</v>
      </c>
      <c r="AE16" s="70">
        <v>692</v>
      </c>
      <c r="AF16" s="7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N3662"/>
  <sheetViews>
    <sheetView tabSelected="1" topLeftCell="C1" zoomScale="98" zoomScaleNormal="98" workbookViewId="0">
      <pane xSplit="3" ySplit="2" topLeftCell="DW3" activePane="bottomRight" state="frozen"/>
      <selection activeCell="C1" sqref="C1"/>
      <selection pane="topRight" activeCell="F1" sqref="F1"/>
      <selection pane="bottomLeft" activeCell="C3" sqref="C3"/>
      <selection pane="bottomRight" activeCell="EB56" sqref="EB56:EC56"/>
    </sheetView>
  </sheetViews>
  <sheetFormatPr defaultColWidth="9.140625" defaultRowHeight="12.75" x14ac:dyDescent="0.2"/>
  <cols>
    <col min="1" max="1" width="13.7109375" style="50" hidden="1" customWidth="1"/>
    <col min="2" max="2" width="28.85546875" style="51" hidden="1" customWidth="1"/>
    <col min="3" max="3" width="6.140625" style="51" bestFit="1" customWidth="1"/>
    <col min="4" max="4" width="42.28515625" style="51" customWidth="1"/>
    <col min="5" max="5" width="15.28515625" style="51" customWidth="1"/>
    <col min="6" max="6" width="6.85546875" style="52" bestFit="1" customWidth="1"/>
    <col min="7" max="7" width="7.5703125" style="52" bestFit="1" customWidth="1"/>
    <col min="8" max="8" width="9.28515625" style="52" bestFit="1" customWidth="1"/>
    <col min="9" max="9" width="9" style="52" bestFit="1" customWidth="1"/>
    <col min="10" max="10" width="6.85546875" style="52" bestFit="1" customWidth="1"/>
    <col min="11" max="11" width="7.5703125" style="52" bestFit="1" customWidth="1"/>
    <col min="12" max="12" width="9.28515625" style="52" bestFit="1" customWidth="1"/>
    <col min="13" max="13" width="9" style="52" bestFit="1" customWidth="1"/>
    <col min="14" max="14" width="6.85546875" style="52" bestFit="1" customWidth="1"/>
    <col min="15" max="15" width="7.5703125" style="52" bestFit="1" customWidth="1"/>
    <col min="16" max="16" width="9.28515625" style="52" bestFit="1" customWidth="1"/>
    <col min="17" max="17" width="9" style="52" bestFit="1" customWidth="1"/>
    <col min="18" max="18" width="6.85546875" style="52" bestFit="1" customWidth="1"/>
    <col min="19" max="19" width="7.5703125" style="52" bestFit="1" customWidth="1"/>
    <col min="20" max="20" width="9.28515625" style="52" bestFit="1" customWidth="1"/>
    <col min="21" max="21" width="9" style="52" bestFit="1" customWidth="1"/>
    <col min="22" max="22" width="6.85546875" style="52" bestFit="1" customWidth="1"/>
    <col min="23" max="23" width="7.5703125" style="52" bestFit="1" customWidth="1"/>
    <col min="24" max="24" width="9.28515625" style="52" bestFit="1" customWidth="1"/>
    <col min="25" max="25" width="9" style="52" bestFit="1" customWidth="1"/>
    <col min="26" max="26" width="6.85546875" style="52" bestFit="1" customWidth="1"/>
    <col min="27" max="27" width="7.5703125" style="52" bestFit="1" customWidth="1"/>
    <col min="28" max="28" width="9.28515625" style="52" bestFit="1" customWidth="1"/>
    <col min="29" max="29" width="9" style="52" bestFit="1" customWidth="1"/>
    <col min="30" max="30" width="6.85546875" style="52" bestFit="1" customWidth="1"/>
    <col min="31" max="31" width="7.5703125" style="52" bestFit="1" customWidth="1"/>
    <col min="32" max="32" width="9.28515625" style="52" bestFit="1" customWidth="1"/>
    <col min="33" max="33" width="9" style="52" bestFit="1" customWidth="1"/>
    <col min="34" max="34" width="6.85546875" style="52" bestFit="1" customWidth="1"/>
    <col min="35" max="35" width="7.5703125" style="52" bestFit="1" customWidth="1"/>
    <col min="36" max="36" width="9.28515625" style="52" bestFit="1" customWidth="1"/>
    <col min="37" max="37" width="9" style="52" bestFit="1" customWidth="1"/>
    <col min="38" max="38" width="6.85546875" style="52" bestFit="1" customWidth="1"/>
    <col min="39" max="39" width="7.5703125" style="52" bestFit="1" customWidth="1"/>
    <col min="40" max="40" width="9.28515625" style="52" bestFit="1" customWidth="1"/>
    <col min="41" max="41" width="9" style="52" bestFit="1" customWidth="1"/>
    <col min="42" max="42" width="6.85546875" style="52" bestFit="1" customWidth="1"/>
    <col min="43" max="43" width="7.5703125" style="52" bestFit="1" customWidth="1"/>
    <col min="44" max="44" width="9.28515625" style="52" bestFit="1" customWidth="1"/>
    <col min="45" max="45" width="9" style="52" bestFit="1" customWidth="1"/>
    <col min="46" max="46" width="6.85546875" style="52" bestFit="1" customWidth="1"/>
    <col min="47" max="47" width="7.5703125" style="52" bestFit="1" customWidth="1"/>
    <col min="48" max="48" width="9.28515625" style="52" bestFit="1" customWidth="1"/>
    <col min="49" max="49" width="9" style="52" bestFit="1" customWidth="1"/>
    <col min="50" max="50" width="6.85546875" style="52" bestFit="1" customWidth="1"/>
    <col min="51" max="51" width="7.5703125" style="52" bestFit="1" customWidth="1"/>
    <col min="52" max="52" width="9.28515625" style="52" bestFit="1" customWidth="1"/>
    <col min="53" max="53" width="9" style="52" bestFit="1" customWidth="1"/>
    <col min="54" max="54" width="6.85546875" style="52" bestFit="1" customWidth="1"/>
    <col min="55" max="55" width="7.5703125" style="52" bestFit="1" customWidth="1"/>
    <col min="56" max="56" width="9.28515625" style="52" bestFit="1" customWidth="1"/>
    <col min="57" max="57" width="9" style="52" bestFit="1" customWidth="1"/>
    <col min="58" max="58" width="6.85546875" style="52" bestFit="1" customWidth="1"/>
    <col min="59" max="59" width="7.5703125" style="52" bestFit="1" customWidth="1"/>
    <col min="60" max="60" width="9.28515625" style="52" bestFit="1" customWidth="1"/>
    <col min="61" max="61" width="9" style="52" bestFit="1" customWidth="1"/>
    <col min="62" max="62" width="6.85546875" style="52" bestFit="1" customWidth="1"/>
    <col min="63" max="63" width="7.5703125" style="52" bestFit="1" customWidth="1"/>
    <col min="64" max="64" width="9.28515625" style="52" bestFit="1" customWidth="1"/>
    <col min="65" max="65" width="9" style="52" bestFit="1" customWidth="1"/>
    <col min="66" max="66" width="6.85546875" style="52" bestFit="1" customWidth="1"/>
    <col min="67" max="67" width="7.5703125" style="52" bestFit="1" customWidth="1"/>
    <col min="68" max="68" width="9.28515625" style="52" bestFit="1" customWidth="1"/>
    <col min="69" max="69" width="9" style="52" bestFit="1" customWidth="1"/>
    <col min="70" max="70" width="6.85546875" style="52" bestFit="1" customWidth="1"/>
    <col min="71" max="71" width="7.5703125" style="52" bestFit="1" customWidth="1"/>
    <col min="72" max="72" width="9.28515625" style="52" bestFit="1" customWidth="1"/>
    <col min="73" max="73" width="9" style="52" bestFit="1" customWidth="1"/>
    <col min="74" max="74" width="6.85546875" style="52" bestFit="1" customWidth="1"/>
    <col min="75" max="75" width="7.5703125" style="52" bestFit="1" customWidth="1"/>
    <col min="76" max="76" width="9.28515625" style="52" bestFit="1" customWidth="1"/>
    <col min="77" max="77" width="9" style="52" bestFit="1" customWidth="1"/>
    <col min="78" max="78" width="6.85546875" style="52" bestFit="1" customWidth="1"/>
    <col min="79" max="79" width="7.5703125" style="52" bestFit="1" customWidth="1"/>
    <col min="80" max="80" width="9.28515625" style="52" bestFit="1" customWidth="1"/>
    <col min="81" max="81" width="9" style="52" bestFit="1" customWidth="1"/>
    <col min="82" max="82" width="6.85546875" style="52" bestFit="1" customWidth="1"/>
    <col min="83" max="83" width="7.5703125" style="52" bestFit="1" customWidth="1"/>
    <col min="84" max="84" width="9.28515625" style="52" bestFit="1" customWidth="1"/>
    <col min="85" max="85" width="9" style="52" bestFit="1" customWidth="1"/>
    <col min="86" max="86" width="6.85546875" style="52" bestFit="1" customWidth="1"/>
    <col min="87" max="87" width="7.5703125" style="52" bestFit="1" customWidth="1"/>
    <col min="88" max="88" width="9.28515625" style="52" bestFit="1" customWidth="1"/>
    <col min="89" max="89" width="9" style="52" bestFit="1" customWidth="1"/>
    <col min="90" max="90" width="6.85546875" style="52" bestFit="1" customWidth="1"/>
    <col min="91" max="91" width="7.5703125" style="52" bestFit="1" customWidth="1"/>
    <col min="92" max="92" width="9.28515625" style="52" bestFit="1" customWidth="1"/>
    <col min="93" max="93" width="9" style="52" bestFit="1" customWidth="1"/>
    <col min="94" max="94" width="6.85546875" style="52" bestFit="1" customWidth="1"/>
    <col min="95" max="95" width="7.5703125" style="52" bestFit="1" customWidth="1"/>
    <col min="96" max="96" width="9.28515625" style="52" bestFit="1" customWidth="1"/>
    <col min="97" max="97" width="9" style="52" bestFit="1" customWidth="1"/>
    <col min="98" max="98" width="7.7109375" style="52" bestFit="1" customWidth="1"/>
    <col min="99" max="99" width="7.5703125" style="52" bestFit="1" customWidth="1"/>
    <col min="100" max="100" width="9.28515625" style="52" bestFit="1" customWidth="1"/>
    <col min="101" max="101" width="9" style="52" bestFit="1" customWidth="1"/>
    <col min="102" max="102" width="6.85546875" style="52" bestFit="1" customWidth="1"/>
    <col min="103" max="103" width="7.5703125" style="52" bestFit="1" customWidth="1"/>
    <col min="104" max="104" width="9.28515625" style="52" bestFit="1" customWidth="1"/>
    <col min="105" max="105" width="9" style="52" bestFit="1" customWidth="1"/>
    <col min="106" max="106" width="6.85546875" style="52" bestFit="1" customWidth="1"/>
    <col min="107" max="107" width="7.5703125" style="52" bestFit="1" customWidth="1"/>
    <col min="108" max="108" width="9.28515625" style="52" bestFit="1" customWidth="1"/>
    <col min="109" max="109" width="9" style="52" bestFit="1" customWidth="1"/>
    <col min="110" max="110" width="6.85546875" style="52" bestFit="1" customWidth="1"/>
    <col min="111" max="111" width="7.5703125" style="52" bestFit="1" customWidth="1"/>
    <col min="112" max="112" width="9.28515625" style="52" bestFit="1" customWidth="1"/>
    <col min="113" max="113" width="9" style="52" bestFit="1" customWidth="1"/>
    <col min="114" max="114" width="6.85546875" style="52" bestFit="1" customWidth="1"/>
    <col min="115" max="115" width="7.5703125" style="52" bestFit="1" customWidth="1"/>
    <col min="116" max="116" width="9.28515625" style="52" bestFit="1" customWidth="1"/>
    <col min="117" max="117" width="9" style="52" bestFit="1" customWidth="1"/>
    <col min="118" max="118" width="6.85546875" style="52" bestFit="1" customWidth="1"/>
    <col min="119" max="119" width="7.5703125" style="52" bestFit="1" customWidth="1"/>
    <col min="120" max="120" width="9.28515625" style="52" bestFit="1" customWidth="1"/>
    <col min="121" max="121" width="9" style="52" bestFit="1" customWidth="1"/>
    <col min="122" max="122" width="6.85546875" style="52" bestFit="1" customWidth="1"/>
    <col min="123" max="123" width="7.5703125" style="52" bestFit="1" customWidth="1"/>
    <col min="124" max="124" width="9.28515625" style="52" bestFit="1" customWidth="1"/>
    <col min="125" max="125" width="9" style="52" bestFit="1" customWidth="1"/>
    <col min="126" max="126" width="6.85546875" style="52" bestFit="1" customWidth="1"/>
    <col min="127" max="127" width="7.5703125" style="52" bestFit="1" customWidth="1"/>
    <col min="128" max="128" width="9.28515625" style="52" bestFit="1" customWidth="1"/>
    <col min="129" max="129" width="9" style="52" bestFit="1" customWidth="1"/>
    <col min="130" max="130" width="10.7109375" style="52" customWidth="1"/>
    <col min="131" max="131" width="13" style="52" bestFit="1" customWidth="1"/>
    <col min="132" max="158" width="10.7109375" style="52" customWidth="1"/>
    <col min="159" max="160" width="9.140625" style="52"/>
    <col min="161" max="161" width="16.5703125" style="52" bestFit="1" customWidth="1"/>
    <col min="162" max="231" width="9.140625" style="52"/>
    <col min="232" max="232" width="9.5703125" style="52" bestFit="1" customWidth="1"/>
    <col min="233" max="16384" width="9.140625" style="52"/>
  </cols>
  <sheetData>
    <row r="1" spans="1:274" s="13" customFormat="1" ht="84" customHeight="1" x14ac:dyDescent="0.25">
      <c r="A1" s="9"/>
      <c r="B1" s="9"/>
      <c r="C1" s="9"/>
      <c r="D1" s="10"/>
      <c r="E1" s="11"/>
      <c r="F1" s="73">
        <f>'Production data'!B1</f>
        <v>45901</v>
      </c>
      <c r="G1" s="73"/>
      <c r="H1" s="73"/>
      <c r="I1" s="73"/>
      <c r="J1" s="73">
        <f>'Production data'!C1</f>
        <v>45902</v>
      </c>
      <c r="K1" s="73"/>
      <c r="L1" s="73"/>
      <c r="M1" s="73"/>
      <c r="N1" s="73">
        <f>'Production data'!D1</f>
        <v>45903</v>
      </c>
      <c r="O1" s="73"/>
      <c r="P1" s="73"/>
      <c r="Q1" s="73"/>
      <c r="R1" s="73">
        <f>'Production data'!E1</f>
        <v>45904</v>
      </c>
      <c r="S1" s="73"/>
      <c r="T1" s="73"/>
      <c r="U1" s="73"/>
      <c r="V1" s="73">
        <f>'Production data'!F1</f>
        <v>45905</v>
      </c>
      <c r="W1" s="73"/>
      <c r="X1" s="73"/>
      <c r="Y1" s="73"/>
      <c r="Z1" s="73">
        <f>'Production data'!G1</f>
        <v>45906</v>
      </c>
      <c r="AA1" s="73"/>
      <c r="AB1" s="73"/>
      <c r="AC1" s="73"/>
      <c r="AD1" s="73">
        <f>'Production data'!H1</f>
        <v>45907</v>
      </c>
      <c r="AE1" s="73"/>
      <c r="AF1" s="73"/>
      <c r="AG1" s="73"/>
      <c r="AH1" s="73">
        <f>'Production data'!I1</f>
        <v>45908</v>
      </c>
      <c r="AI1" s="73"/>
      <c r="AJ1" s="73"/>
      <c r="AK1" s="73"/>
      <c r="AL1" s="73">
        <f>'Production data'!J1</f>
        <v>45909</v>
      </c>
      <c r="AM1" s="73"/>
      <c r="AN1" s="73"/>
      <c r="AO1" s="73"/>
      <c r="AP1" s="73">
        <f>'Production data'!K1</f>
        <v>45910</v>
      </c>
      <c r="AQ1" s="73"/>
      <c r="AR1" s="73"/>
      <c r="AS1" s="73"/>
      <c r="AT1" s="73">
        <f>'Production data'!L1</f>
        <v>45911</v>
      </c>
      <c r="AU1" s="73"/>
      <c r="AV1" s="73"/>
      <c r="AW1" s="73"/>
      <c r="AX1" s="73">
        <f>'Production data'!M1</f>
        <v>45912</v>
      </c>
      <c r="AY1" s="73"/>
      <c r="AZ1" s="73"/>
      <c r="BA1" s="73"/>
      <c r="BB1" s="73">
        <f>'Production data'!N1</f>
        <v>45913</v>
      </c>
      <c r="BC1" s="73"/>
      <c r="BD1" s="73"/>
      <c r="BE1" s="73"/>
      <c r="BF1" s="73">
        <f>'Production data'!O1</f>
        <v>45914</v>
      </c>
      <c r="BG1" s="73"/>
      <c r="BH1" s="73"/>
      <c r="BI1" s="73"/>
      <c r="BJ1" s="73">
        <f>'Production data'!P1</f>
        <v>45915</v>
      </c>
      <c r="BK1" s="73"/>
      <c r="BL1" s="73"/>
      <c r="BM1" s="73"/>
      <c r="BN1" s="73">
        <f>'Production data'!Q1</f>
        <v>45916</v>
      </c>
      <c r="BO1" s="73"/>
      <c r="BP1" s="73"/>
      <c r="BQ1" s="73"/>
      <c r="BR1" s="73">
        <f>'Production data'!R1</f>
        <v>45917</v>
      </c>
      <c r="BS1" s="73"/>
      <c r="BT1" s="73"/>
      <c r="BU1" s="73"/>
      <c r="BV1" s="73">
        <f>'Production data'!S1</f>
        <v>45918</v>
      </c>
      <c r="BW1" s="73"/>
      <c r="BX1" s="73"/>
      <c r="BY1" s="73"/>
      <c r="BZ1" s="73">
        <f>'Production data'!T1</f>
        <v>45919</v>
      </c>
      <c r="CA1" s="73"/>
      <c r="CB1" s="73"/>
      <c r="CC1" s="73"/>
      <c r="CD1" s="73">
        <f>'Production data'!U1</f>
        <v>45920</v>
      </c>
      <c r="CE1" s="73"/>
      <c r="CF1" s="73"/>
      <c r="CG1" s="73"/>
      <c r="CH1" s="73">
        <f>'Production data'!V1</f>
        <v>45921</v>
      </c>
      <c r="CI1" s="73"/>
      <c r="CJ1" s="73"/>
      <c r="CK1" s="73"/>
      <c r="CL1" s="73">
        <f>'Production data'!W1</f>
        <v>45922</v>
      </c>
      <c r="CM1" s="73"/>
      <c r="CN1" s="73"/>
      <c r="CO1" s="73"/>
      <c r="CP1" s="73">
        <f>'Production data'!X1</f>
        <v>45923</v>
      </c>
      <c r="CQ1" s="73"/>
      <c r="CR1" s="73"/>
      <c r="CS1" s="73"/>
      <c r="CT1" s="73">
        <f>'Production data'!Y1</f>
        <v>45924</v>
      </c>
      <c r="CU1" s="73"/>
      <c r="CV1" s="73"/>
      <c r="CW1" s="73"/>
      <c r="CX1" s="73">
        <f>'Production data'!Z1</f>
        <v>45925</v>
      </c>
      <c r="CY1" s="73"/>
      <c r="CZ1" s="73"/>
      <c r="DA1" s="73"/>
      <c r="DB1" s="73">
        <f>'Production data'!AA1</f>
        <v>45926</v>
      </c>
      <c r="DC1" s="73"/>
      <c r="DD1" s="73"/>
      <c r="DE1" s="73"/>
      <c r="DF1" s="73">
        <f>'Production data'!AB1</f>
        <v>45927</v>
      </c>
      <c r="DG1" s="73"/>
      <c r="DH1" s="73"/>
      <c r="DI1" s="73"/>
      <c r="DJ1" s="73">
        <f>'Production data'!AC1</f>
        <v>45928</v>
      </c>
      <c r="DK1" s="73"/>
      <c r="DL1" s="73"/>
      <c r="DM1" s="73"/>
      <c r="DN1" s="73">
        <f>'Production data'!AD1</f>
        <v>45929</v>
      </c>
      <c r="DO1" s="73"/>
      <c r="DP1" s="73"/>
      <c r="DQ1" s="73"/>
      <c r="DR1" s="73">
        <f>'Production data'!AE1</f>
        <v>45930</v>
      </c>
      <c r="DS1" s="73"/>
      <c r="DT1" s="73"/>
      <c r="DU1" s="73"/>
      <c r="DV1" s="73">
        <f>'Production data'!AF1</f>
        <v>45931</v>
      </c>
      <c r="DW1" s="73"/>
      <c r="DX1" s="73"/>
      <c r="DY1" s="73"/>
      <c r="DZ1" s="73" t="s">
        <v>1</v>
      </c>
      <c r="EA1" s="73"/>
      <c r="EB1" s="73"/>
      <c r="EC1" s="73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</row>
    <row r="2" spans="1:274" s="23" customFormat="1" ht="18" x14ac:dyDescent="0.2">
      <c r="A2" s="14"/>
      <c r="B2" s="15"/>
      <c r="C2" s="14" t="s">
        <v>38</v>
      </c>
      <c r="D2" s="16" t="s">
        <v>0</v>
      </c>
      <c r="E2" s="17" t="s">
        <v>277</v>
      </c>
      <c r="F2" s="18" t="s">
        <v>327</v>
      </c>
      <c r="G2" s="19" t="s">
        <v>328</v>
      </c>
      <c r="H2" s="20" t="s">
        <v>326</v>
      </c>
      <c r="I2" s="20" t="s">
        <v>325</v>
      </c>
      <c r="J2" s="18" t="s">
        <v>327</v>
      </c>
      <c r="K2" s="19" t="s">
        <v>328</v>
      </c>
      <c r="L2" s="20" t="s">
        <v>326</v>
      </c>
      <c r="M2" s="20" t="s">
        <v>325</v>
      </c>
      <c r="N2" s="18" t="s">
        <v>327</v>
      </c>
      <c r="O2" s="19" t="s">
        <v>328</v>
      </c>
      <c r="P2" s="20" t="s">
        <v>326</v>
      </c>
      <c r="Q2" s="20" t="s">
        <v>325</v>
      </c>
      <c r="R2" s="18" t="s">
        <v>327</v>
      </c>
      <c r="S2" s="19" t="s">
        <v>328</v>
      </c>
      <c r="T2" s="20" t="s">
        <v>326</v>
      </c>
      <c r="U2" s="20" t="s">
        <v>325</v>
      </c>
      <c r="V2" s="18" t="s">
        <v>327</v>
      </c>
      <c r="W2" s="19" t="s">
        <v>328</v>
      </c>
      <c r="X2" s="20" t="s">
        <v>326</v>
      </c>
      <c r="Y2" s="20" t="s">
        <v>325</v>
      </c>
      <c r="Z2" s="18" t="s">
        <v>327</v>
      </c>
      <c r="AA2" s="19" t="s">
        <v>328</v>
      </c>
      <c r="AB2" s="20" t="s">
        <v>326</v>
      </c>
      <c r="AC2" s="20" t="s">
        <v>325</v>
      </c>
      <c r="AD2" s="18" t="s">
        <v>327</v>
      </c>
      <c r="AE2" s="19" t="s">
        <v>328</v>
      </c>
      <c r="AF2" s="20" t="s">
        <v>326</v>
      </c>
      <c r="AG2" s="20" t="s">
        <v>325</v>
      </c>
      <c r="AH2" s="18" t="s">
        <v>327</v>
      </c>
      <c r="AI2" s="19" t="s">
        <v>328</v>
      </c>
      <c r="AJ2" s="20" t="s">
        <v>326</v>
      </c>
      <c r="AK2" s="20" t="s">
        <v>325</v>
      </c>
      <c r="AL2" s="18" t="s">
        <v>327</v>
      </c>
      <c r="AM2" s="19" t="s">
        <v>328</v>
      </c>
      <c r="AN2" s="20" t="s">
        <v>326</v>
      </c>
      <c r="AO2" s="20" t="s">
        <v>325</v>
      </c>
      <c r="AP2" s="18" t="s">
        <v>327</v>
      </c>
      <c r="AQ2" s="19" t="s">
        <v>328</v>
      </c>
      <c r="AR2" s="20" t="s">
        <v>326</v>
      </c>
      <c r="AS2" s="20" t="s">
        <v>325</v>
      </c>
      <c r="AT2" s="18" t="s">
        <v>327</v>
      </c>
      <c r="AU2" s="19" t="s">
        <v>328</v>
      </c>
      <c r="AV2" s="20" t="s">
        <v>326</v>
      </c>
      <c r="AW2" s="20" t="s">
        <v>325</v>
      </c>
      <c r="AX2" s="18" t="s">
        <v>327</v>
      </c>
      <c r="AY2" s="19" t="s">
        <v>328</v>
      </c>
      <c r="AZ2" s="20" t="s">
        <v>326</v>
      </c>
      <c r="BA2" s="20" t="s">
        <v>325</v>
      </c>
      <c r="BB2" s="18" t="s">
        <v>327</v>
      </c>
      <c r="BC2" s="19" t="s">
        <v>328</v>
      </c>
      <c r="BD2" s="20" t="s">
        <v>326</v>
      </c>
      <c r="BE2" s="20" t="s">
        <v>325</v>
      </c>
      <c r="BF2" s="18" t="s">
        <v>327</v>
      </c>
      <c r="BG2" s="19" t="s">
        <v>328</v>
      </c>
      <c r="BH2" s="20" t="s">
        <v>326</v>
      </c>
      <c r="BI2" s="20" t="s">
        <v>325</v>
      </c>
      <c r="BJ2" s="18" t="s">
        <v>327</v>
      </c>
      <c r="BK2" s="19" t="s">
        <v>328</v>
      </c>
      <c r="BL2" s="20" t="s">
        <v>326</v>
      </c>
      <c r="BM2" s="20" t="s">
        <v>325</v>
      </c>
      <c r="BN2" s="18" t="s">
        <v>327</v>
      </c>
      <c r="BO2" s="19" t="s">
        <v>328</v>
      </c>
      <c r="BP2" s="20" t="s">
        <v>326</v>
      </c>
      <c r="BQ2" s="20" t="s">
        <v>325</v>
      </c>
      <c r="BR2" s="18" t="s">
        <v>327</v>
      </c>
      <c r="BS2" s="19" t="s">
        <v>328</v>
      </c>
      <c r="BT2" s="20" t="s">
        <v>326</v>
      </c>
      <c r="BU2" s="20" t="s">
        <v>325</v>
      </c>
      <c r="BV2" s="18" t="s">
        <v>327</v>
      </c>
      <c r="BW2" s="19" t="s">
        <v>328</v>
      </c>
      <c r="BX2" s="20" t="s">
        <v>326</v>
      </c>
      <c r="BY2" s="20" t="s">
        <v>325</v>
      </c>
      <c r="BZ2" s="18" t="s">
        <v>327</v>
      </c>
      <c r="CA2" s="19" t="s">
        <v>328</v>
      </c>
      <c r="CB2" s="20" t="s">
        <v>326</v>
      </c>
      <c r="CC2" s="20" t="s">
        <v>325</v>
      </c>
      <c r="CD2" s="18" t="s">
        <v>327</v>
      </c>
      <c r="CE2" s="19" t="s">
        <v>328</v>
      </c>
      <c r="CF2" s="20" t="s">
        <v>326</v>
      </c>
      <c r="CG2" s="20" t="s">
        <v>325</v>
      </c>
      <c r="CH2" s="18" t="s">
        <v>327</v>
      </c>
      <c r="CI2" s="19" t="s">
        <v>328</v>
      </c>
      <c r="CJ2" s="20" t="s">
        <v>326</v>
      </c>
      <c r="CK2" s="20" t="s">
        <v>325</v>
      </c>
      <c r="CL2" s="18" t="s">
        <v>327</v>
      </c>
      <c r="CM2" s="19" t="s">
        <v>328</v>
      </c>
      <c r="CN2" s="20" t="s">
        <v>326</v>
      </c>
      <c r="CO2" s="20" t="s">
        <v>325</v>
      </c>
      <c r="CP2" s="18" t="s">
        <v>327</v>
      </c>
      <c r="CQ2" s="19" t="s">
        <v>328</v>
      </c>
      <c r="CR2" s="20" t="s">
        <v>326</v>
      </c>
      <c r="CS2" s="20" t="s">
        <v>325</v>
      </c>
      <c r="CT2" s="18" t="s">
        <v>327</v>
      </c>
      <c r="CU2" s="19" t="s">
        <v>328</v>
      </c>
      <c r="CV2" s="20" t="s">
        <v>326</v>
      </c>
      <c r="CW2" s="20" t="s">
        <v>325</v>
      </c>
      <c r="CX2" s="18" t="s">
        <v>327</v>
      </c>
      <c r="CY2" s="19" t="s">
        <v>328</v>
      </c>
      <c r="CZ2" s="20" t="s">
        <v>326</v>
      </c>
      <c r="DA2" s="20" t="s">
        <v>325</v>
      </c>
      <c r="DB2" s="18" t="s">
        <v>327</v>
      </c>
      <c r="DC2" s="19" t="s">
        <v>328</v>
      </c>
      <c r="DD2" s="20" t="s">
        <v>326</v>
      </c>
      <c r="DE2" s="20" t="s">
        <v>325</v>
      </c>
      <c r="DF2" s="18" t="s">
        <v>327</v>
      </c>
      <c r="DG2" s="19" t="s">
        <v>328</v>
      </c>
      <c r="DH2" s="20" t="s">
        <v>326</v>
      </c>
      <c r="DI2" s="20" t="s">
        <v>325</v>
      </c>
      <c r="DJ2" s="18" t="s">
        <v>327</v>
      </c>
      <c r="DK2" s="19" t="s">
        <v>328</v>
      </c>
      <c r="DL2" s="20" t="s">
        <v>326</v>
      </c>
      <c r="DM2" s="20" t="s">
        <v>325</v>
      </c>
      <c r="DN2" s="18" t="s">
        <v>327</v>
      </c>
      <c r="DO2" s="19" t="s">
        <v>328</v>
      </c>
      <c r="DP2" s="20" t="s">
        <v>326</v>
      </c>
      <c r="DQ2" s="20" t="s">
        <v>325</v>
      </c>
      <c r="DR2" s="18" t="s">
        <v>327</v>
      </c>
      <c r="DS2" s="19" t="s">
        <v>328</v>
      </c>
      <c r="DT2" s="20" t="s">
        <v>326</v>
      </c>
      <c r="DU2" s="20" t="s">
        <v>325</v>
      </c>
      <c r="DV2" s="18" t="s">
        <v>327</v>
      </c>
      <c r="DW2" s="19" t="s">
        <v>328</v>
      </c>
      <c r="DX2" s="20" t="s">
        <v>326</v>
      </c>
      <c r="DY2" s="20" t="s">
        <v>325</v>
      </c>
      <c r="DZ2" s="18" t="s">
        <v>327</v>
      </c>
      <c r="EA2" s="19" t="s">
        <v>328</v>
      </c>
      <c r="EB2" s="20" t="s">
        <v>326</v>
      </c>
      <c r="EC2" s="20" t="s">
        <v>325</v>
      </c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  <c r="GI2" s="21"/>
      <c r="GJ2" s="21"/>
      <c r="GK2" s="21"/>
      <c r="GL2" s="21"/>
      <c r="GM2" s="21"/>
      <c r="GN2" s="21"/>
      <c r="GO2" s="21"/>
      <c r="GP2" s="21"/>
      <c r="GQ2" s="21"/>
      <c r="GR2" s="21"/>
      <c r="GS2" s="21"/>
      <c r="GT2" s="21"/>
      <c r="GU2" s="21"/>
      <c r="GV2" s="21"/>
      <c r="GW2" s="21"/>
      <c r="GX2" s="21"/>
      <c r="GY2" s="21"/>
      <c r="GZ2" s="21"/>
      <c r="HA2" s="21"/>
      <c r="HB2" s="21"/>
      <c r="HC2" s="21"/>
      <c r="HD2" s="21"/>
      <c r="HE2" s="21"/>
      <c r="HF2" s="21"/>
      <c r="HG2" s="21"/>
      <c r="HH2" s="21"/>
      <c r="HI2" s="21"/>
      <c r="HJ2" s="21"/>
      <c r="HK2" s="21"/>
      <c r="HL2" s="21"/>
      <c r="HM2" s="21"/>
      <c r="HN2" s="21"/>
      <c r="HO2" s="21"/>
      <c r="HP2" s="21"/>
      <c r="HQ2" s="21"/>
      <c r="HR2" s="21"/>
      <c r="HS2" s="21"/>
      <c r="HT2" s="21"/>
      <c r="HU2" s="21"/>
      <c r="HV2" s="21"/>
      <c r="HW2" s="21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</row>
    <row r="3" spans="1:274" s="32" customFormat="1" ht="25.5" x14ac:dyDescent="0.35">
      <c r="A3" s="24"/>
      <c r="B3" s="24"/>
      <c r="C3" s="24">
        <v>10</v>
      </c>
      <c r="D3" s="25" t="s">
        <v>283</v>
      </c>
      <c r="E3" s="72"/>
      <c r="F3" s="66">
        <v>3</v>
      </c>
      <c r="G3" s="26">
        <f>'Production data'!B2</f>
        <v>0</v>
      </c>
      <c r="H3" s="27">
        <f>IF((G3=0),0,F3/G3)</f>
        <v>0</v>
      </c>
      <c r="I3" s="27">
        <f t="shared" ref="I3:I40" si="0">H3*9.04</f>
        <v>0</v>
      </c>
      <c r="J3" s="66">
        <v>649</v>
      </c>
      <c r="K3" s="26">
        <f>'Production data'!C2</f>
        <v>818</v>
      </c>
      <c r="L3" s="27">
        <f>IF((K3=0),0,J3/K3)</f>
        <v>0.79339853300733498</v>
      </c>
      <c r="M3" s="27">
        <f t="shared" ref="M3:M17" si="1">L3*9.04</f>
        <v>7.172322738386308</v>
      </c>
      <c r="N3" s="66">
        <v>888</v>
      </c>
      <c r="O3" s="26">
        <f>'Production data'!D2</f>
        <v>1807</v>
      </c>
      <c r="P3" s="27">
        <f>IF((O3=0),0,N3/O3)</f>
        <v>0.49142224681793029</v>
      </c>
      <c r="Q3" s="27">
        <f t="shared" ref="Q3:Q17" si="2">P3*9.04</f>
        <v>4.4424571112340896</v>
      </c>
      <c r="R3" s="66">
        <v>927</v>
      </c>
      <c r="S3" s="26">
        <f>'Production data'!E2</f>
        <v>2015</v>
      </c>
      <c r="T3" s="27">
        <f>IF((S3=0),0,R3/S3)</f>
        <v>0.46004962779156328</v>
      </c>
      <c r="U3" s="27">
        <f t="shared" ref="U3:U17" si="3">T3*9.04</f>
        <v>4.1588486352357315</v>
      </c>
      <c r="V3" s="66">
        <v>912</v>
      </c>
      <c r="W3" s="26">
        <f>'Production data'!F2</f>
        <v>1806</v>
      </c>
      <c r="X3" s="27">
        <f>IF((W3=0),0,V3/W3)</f>
        <v>0.50498338870431891</v>
      </c>
      <c r="Y3" s="27">
        <f t="shared" ref="Y3:Y17" si="4">X3*9.04</f>
        <v>4.5650498338870422</v>
      </c>
      <c r="Z3" s="66">
        <v>49</v>
      </c>
      <c r="AA3" s="26">
        <f>'Production data'!G2</f>
        <v>0</v>
      </c>
      <c r="AB3" s="27">
        <f>IF((AA3=0),0,Z3/AA3)</f>
        <v>0</v>
      </c>
      <c r="AC3" s="27">
        <f t="shared" ref="AC3:AC17" si="5">AB3*9.04</f>
        <v>0</v>
      </c>
      <c r="AD3" s="66">
        <v>813</v>
      </c>
      <c r="AE3" s="26">
        <f>'Production data'!H2</f>
        <v>1310</v>
      </c>
      <c r="AF3" s="27">
        <f t="shared" ref="AF3:AF8" si="6">IF((AE3=0),0,AD3/AE3)</f>
        <v>0.62061068702290079</v>
      </c>
      <c r="AG3" s="27">
        <f t="shared" ref="AG3:AG8" si="7">AF3*9.04</f>
        <v>5.6103206106870225</v>
      </c>
      <c r="AH3" s="66">
        <v>786</v>
      </c>
      <c r="AI3" s="26">
        <f>'Production data'!I2</f>
        <v>1189</v>
      </c>
      <c r="AJ3" s="27">
        <f>IF((AI3=0),0,AH3/AI3)</f>
        <v>0.6610597140454163</v>
      </c>
      <c r="AK3" s="27">
        <f t="shared" ref="AK3:AK17" si="8">AJ3*9.04</f>
        <v>5.9759798149705627</v>
      </c>
      <c r="AL3" s="66">
        <v>882</v>
      </c>
      <c r="AM3" s="26">
        <f>'Production data'!J2</f>
        <v>1740</v>
      </c>
      <c r="AN3" s="27">
        <f>IF((AM3=0),0,AL3/AM3)</f>
        <v>0.50689655172413794</v>
      </c>
      <c r="AO3" s="27">
        <f t="shared" ref="AO3:AO17" si="9">AN3*9.04</f>
        <v>4.5823448275862066</v>
      </c>
      <c r="AP3" s="66">
        <v>545</v>
      </c>
      <c r="AQ3" s="26">
        <f>'Production data'!K2</f>
        <v>929</v>
      </c>
      <c r="AR3" s="27">
        <f>IF((AQ3=0),0,AP3/AQ3)</f>
        <v>0.58665231431646936</v>
      </c>
      <c r="AS3" s="27">
        <f t="shared" ref="AS3:AS17" si="10">AR3*9.04</f>
        <v>5.3033369214208825</v>
      </c>
      <c r="AT3" s="66">
        <v>921</v>
      </c>
      <c r="AU3" s="26">
        <f>'Production data'!L2</f>
        <v>1595</v>
      </c>
      <c r="AV3" s="27">
        <f>IF((AU3=0),0,AT3/AU3)</f>
        <v>0.57742946708463949</v>
      </c>
      <c r="AW3" s="27">
        <f t="shared" ref="AW3:AW17" si="11">AV3*9.04</f>
        <v>5.2199623824451402</v>
      </c>
      <c r="AX3" s="66">
        <v>885</v>
      </c>
      <c r="AY3" s="26">
        <f>'Production data'!M2</f>
        <v>1495</v>
      </c>
      <c r="AZ3" s="27">
        <f>IF((AY3=0),0,AX3/AY3)</f>
        <v>0.59197324414715724</v>
      </c>
      <c r="BA3" s="27">
        <f t="shared" ref="BA3:BA17" si="12">AZ3*9.04</f>
        <v>5.3514381270903009</v>
      </c>
      <c r="BB3" s="66">
        <v>820</v>
      </c>
      <c r="BC3" s="26">
        <f>'Production data'!N2</f>
        <v>1517</v>
      </c>
      <c r="BD3" s="27">
        <f>IF((BC3=0),0,BB3/BC3)</f>
        <v>0.54054054054054057</v>
      </c>
      <c r="BE3" s="27">
        <f t="shared" ref="BE3:BE17" si="13">BD3*9.04</f>
        <v>4.8864864864864863</v>
      </c>
      <c r="BF3" s="66">
        <v>473</v>
      </c>
      <c r="BG3" s="26">
        <f>'Production data'!O2</f>
        <v>770</v>
      </c>
      <c r="BH3" s="27">
        <f>IF((BG3=0),0,BF3/BG3)</f>
        <v>0.61428571428571432</v>
      </c>
      <c r="BI3" s="27">
        <f t="shared" ref="BI3:BI17" si="14">BH3*9.04</f>
        <v>5.5531428571428574</v>
      </c>
      <c r="BJ3" s="66">
        <v>949</v>
      </c>
      <c r="BK3" s="26">
        <f>'Production data'!P2</f>
        <v>2011</v>
      </c>
      <c r="BL3" s="27">
        <f>IF((BK3=0),0,BJ3/BK3)</f>
        <v>0.47190452511188463</v>
      </c>
      <c r="BM3" s="27">
        <f t="shared" ref="BM3:BM17" si="15">BL3*9.04</f>
        <v>4.2660169070114371</v>
      </c>
      <c r="BN3" s="66">
        <v>939</v>
      </c>
      <c r="BO3" s="26">
        <f>'Production data'!Q2</f>
        <v>1859</v>
      </c>
      <c r="BP3" s="27">
        <f>IF((BO3=0),0,BN3/BO3)</f>
        <v>0.50511027434104361</v>
      </c>
      <c r="BQ3" s="27">
        <f t="shared" ref="BQ3:BQ17" si="16">BP3*9.04</f>
        <v>4.5661968800430337</v>
      </c>
      <c r="BR3" s="66">
        <v>903</v>
      </c>
      <c r="BS3" s="26">
        <f>'Production data'!R2</f>
        <v>1800</v>
      </c>
      <c r="BT3" s="27">
        <f>IF((BS3=0),0,BR3/BS3)</f>
        <v>0.50166666666666671</v>
      </c>
      <c r="BU3" s="27">
        <f t="shared" ref="BU3:BU17" si="17">BT3*9.04</f>
        <v>4.5350666666666664</v>
      </c>
      <c r="BV3" s="66">
        <v>773</v>
      </c>
      <c r="BW3" s="26">
        <f>'Production data'!S2</f>
        <v>1362</v>
      </c>
      <c r="BX3" s="27">
        <f>IF((BW3=0),0,BV3/BW3)</f>
        <v>0.5675477239353891</v>
      </c>
      <c r="BY3" s="27">
        <f t="shared" ref="BY3:BY17" si="18">BX3*9.04</f>
        <v>5.1306314243759168</v>
      </c>
      <c r="BZ3" s="66">
        <v>872</v>
      </c>
      <c r="CA3" s="26">
        <f>'Production data'!T2</f>
        <v>1683</v>
      </c>
      <c r="CB3" s="27">
        <f>IF((CA3=0),0,BZ3/CA3)</f>
        <v>0.51812240047534164</v>
      </c>
      <c r="CC3" s="27">
        <f t="shared" ref="CC3:CC17" si="19">CB3*9.04</f>
        <v>4.683826500297088</v>
      </c>
      <c r="CD3" s="66">
        <v>972</v>
      </c>
      <c r="CE3" s="26">
        <f>'Production data'!U2</f>
        <v>1535</v>
      </c>
      <c r="CF3" s="27">
        <f>IF((CE3=0),0,CD3/CE3)</f>
        <v>0.63322475570032577</v>
      </c>
      <c r="CG3" s="27">
        <f t="shared" ref="CG3:CG17" si="20">CF3*9.04</f>
        <v>5.7243517915309443</v>
      </c>
      <c r="CH3" s="66">
        <v>488</v>
      </c>
      <c r="CI3" s="26">
        <f>'Production data'!V2</f>
        <v>799</v>
      </c>
      <c r="CJ3" s="27">
        <f>IF((CI3=0),0,CH3/CI3)</f>
        <v>0.61076345431789736</v>
      </c>
      <c r="CK3" s="27">
        <f t="shared" ref="CK3:CK17" si="21">CJ3*9.04</f>
        <v>5.5213016270337913</v>
      </c>
      <c r="CL3" s="57">
        <v>832</v>
      </c>
      <c r="CM3" s="26">
        <f>'Production data'!W2</f>
        <v>1820</v>
      </c>
      <c r="CN3" s="27">
        <f>IF((CM3=0),0,CL3/CM3)</f>
        <v>0.45714285714285713</v>
      </c>
      <c r="CO3" s="27">
        <f t="shared" ref="CO3:CO17" si="22">CN3*9.04</f>
        <v>4.1325714285714277</v>
      </c>
      <c r="CP3" s="8">
        <v>921</v>
      </c>
      <c r="CQ3" s="26">
        <f>'Production data'!X2</f>
        <v>1481</v>
      </c>
      <c r="CR3" s="27">
        <f>IF((CQ3=0),0,CP3/CQ3)</f>
        <v>0.62187711006076973</v>
      </c>
      <c r="CS3" s="27">
        <f t="shared" ref="CS3:CS17" si="23">CR3*9.04</f>
        <v>5.6217690749493583</v>
      </c>
      <c r="CT3" s="8">
        <v>898</v>
      </c>
      <c r="CU3" s="26">
        <f>'Production data'!Y2</f>
        <v>1654</v>
      </c>
      <c r="CV3" s="27">
        <f>IF((CU3=0),0,CT3/CU3)</f>
        <v>0.54292623941958884</v>
      </c>
      <c r="CW3" s="27">
        <f t="shared" ref="CW3:CW17" si="24">CV3*9.04</f>
        <v>4.9080532043530827</v>
      </c>
      <c r="CX3" s="8">
        <v>962</v>
      </c>
      <c r="CY3" s="26">
        <f>'Production data'!Z2</f>
        <v>2012</v>
      </c>
      <c r="CZ3" s="27">
        <f>IF((CY3=0),0,CX3/CY3)</f>
        <v>0.47813121272365805</v>
      </c>
      <c r="DA3" s="27">
        <f t="shared" ref="DA3:DA17" si="25">CZ3*9.04</f>
        <v>4.3223061630218682</v>
      </c>
      <c r="DB3" s="63">
        <v>928</v>
      </c>
      <c r="DC3" s="26">
        <f>'Production data'!AA2</f>
        <v>1754</v>
      </c>
      <c r="DD3" s="27">
        <f>IF((DC3=0),0,DB3/DC3)</f>
        <v>0.52907639680729757</v>
      </c>
      <c r="DE3" s="27">
        <f t="shared" ref="DE3:DE17" si="26">DD3*9.04</f>
        <v>4.7828506271379698</v>
      </c>
      <c r="DF3" s="8">
        <v>965</v>
      </c>
      <c r="DG3" s="26">
        <f>'Production data'!AB2</f>
        <v>1893</v>
      </c>
      <c r="DH3" s="27">
        <f>IF((DG3=0),0,DF3/DG3)</f>
        <v>0.50977284733227679</v>
      </c>
      <c r="DI3" s="27">
        <f t="shared" ref="DI3:DI17" si="27">DH3*9.04</f>
        <v>4.6083465398837822</v>
      </c>
      <c r="DJ3" s="8">
        <v>710</v>
      </c>
      <c r="DK3" s="26">
        <f>'Production data'!AC2</f>
        <v>1442</v>
      </c>
      <c r="DL3" s="27">
        <f>IF((DK3=0),0,DJ3/DK3)</f>
        <v>0.49237170596393898</v>
      </c>
      <c r="DM3" s="27">
        <f t="shared" ref="DM3:DM17" si="28">DL3*9.04</f>
        <v>4.4510402219140079</v>
      </c>
      <c r="DN3" s="8">
        <v>968</v>
      </c>
      <c r="DO3" s="26">
        <f>'Production data'!AD2</f>
        <v>1553</v>
      </c>
      <c r="DP3" s="27">
        <f>IF((DO3=0),0,DN3/DO3)</f>
        <v>0.62330972311654864</v>
      </c>
      <c r="DQ3" s="27">
        <f t="shared" ref="DQ3:DQ17" si="29">DP3*9.04</f>
        <v>5.634719896973599</v>
      </c>
      <c r="DR3" s="8">
        <v>280</v>
      </c>
      <c r="DS3" s="26">
        <f>'Production data'!AE2</f>
        <v>253</v>
      </c>
      <c r="DT3" s="27">
        <f>IF((DS3=0),0,DR3/DS3)</f>
        <v>1.1067193675889329</v>
      </c>
      <c r="DU3" s="27">
        <f t="shared" ref="DU3:DU17" si="30">DT3*9.04</f>
        <v>10.004743083003952</v>
      </c>
      <c r="DV3" s="8"/>
      <c r="DW3" s="26">
        <f>'Production data'!AF2</f>
        <v>0</v>
      </c>
      <c r="DX3" s="27">
        <f>IF((DW3=0),0,DV3/DW3)</f>
        <v>0</v>
      </c>
      <c r="DY3" s="27">
        <f t="shared" ref="DY3:DY8" si="31">DX3*9.04</f>
        <v>0</v>
      </c>
      <c r="DZ3" s="28">
        <f>F3+J3+N3+R3+V3+Z3+AD3+AH3+AL3+AP3+AT3+AX3+BB3+BF3+BJ3+BN3+BR3+BV3+BZ3+CD3+CH3+CL3+CP3+CT3+CX3+DB3+DF3+DJ3+DN3+DR3+DV3</f>
        <v>22913</v>
      </c>
      <c r="EA3" s="28">
        <f>G3+K3+O3+S3+W3+AA3+AI3+AM3+AQ3+AU3+AY3+BC3+BG3+BK3+BO3+BS3+BW3+CA3+CE3+CI3+CM3+CQ3+CU3+CY3+DC3+DG3+DK3+DO3+DS3+DW3</f>
        <v>40592</v>
      </c>
      <c r="EB3" s="55">
        <f t="shared" ref="EB3:EB8" si="32">IF((EA3=0),0,DZ3/EA3)</f>
        <v>0.56447083169097356</v>
      </c>
      <c r="EC3" s="28">
        <f t="shared" ref="EC3:EC8" si="33">EB3*9.04</f>
        <v>5.1028163184864006</v>
      </c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30"/>
      <c r="EU3" s="30"/>
      <c r="EV3" s="30"/>
      <c r="EW3" s="30"/>
      <c r="EX3" s="30"/>
      <c r="EY3" s="30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1"/>
      <c r="IL3" s="31"/>
      <c r="IM3" s="31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</row>
    <row r="4" spans="1:274" s="32" customFormat="1" ht="25.5" x14ac:dyDescent="0.35">
      <c r="A4" s="24"/>
      <c r="B4" s="24"/>
      <c r="C4" s="24">
        <v>14</v>
      </c>
      <c r="D4" s="25" t="s">
        <v>309</v>
      </c>
      <c r="E4" s="72"/>
      <c r="F4" s="66">
        <v>2</v>
      </c>
      <c r="G4" s="26">
        <f>G3</f>
        <v>0</v>
      </c>
      <c r="H4" s="27">
        <f t="shared" ref="H4:H18" si="34">IF((G4=0),0,F4/G4)</f>
        <v>0</v>
      </c>
      <c r="I4" s="27">
        <f t="shared" ref="I4:I17" si="35">H4*9.04</f>
        <v>0</v>
      </c>
      <c r="J4" s="66">
        <v>348</v>
      </c>
      <c r="K4" s="26">
        <f>K3</f>
        <v>818</v>
      </c>
      <c r="L4" s="27">
        <f t="shared" ref="L4:L18" si="36">IF((K4=0),0,J4/K4)</f>
        <v>0.42542787286063571</v>
      </c>
      <c r="M4" s="27">
        <f t="shared" si="1"/>
        <v>3.8458679706601466</v>
      </c>
      <c r="N4" s="66">
        <v>273</v>
      </c>
      <c r="O4" s="26">
        <f>O3</f>
        <v>1807</v>
      </c>
      <c r="P4" s="27">
        <f t="shared" ref="P4:P18" si="37">IF((O4=0),0,N4/O4)</f>
        <v>0.15107913669064749</v>
      </c>
      <c r="Q4" s="27">
        <f t="shared" si="2"/>
        <v>1.3657553956834532</v>
      </c>
      <c r="R4" s="66">
        <v>309</v>
      </c>
      <c r="S4" s="26">
        <f>S3</f>
        <v>2015</v>
      </c>
      <c r="T4" s="27">
        <f t="shared" ref="T4:T18" si="38">IF((S4=0),0,R4/S4)</f>
        <v>0.1533498759305211</v>
      </c>
      <c r="U4" s="27">
        <f t="shared" si="3"/>
        <v>1.3862828784119106</v>
      </c>
      <c r="V4" s="66">
        <v>319</v>
      </c>
      <c r="W4" s="26">
        <f>W3</f>
        <v>1806</v>
      </c>
      <c r="X4" s="27">
        <f t="shared" ref="X4:X18" si="39">IF((W4=0),0,V4/W4)</f>
        <v>0.17663344407530454</v>
      </c>
      <c r="Y4" s="27">
        <f t="shared" si="4"/>
        <v>1.596766334440753</v>
      </c>
      <c r="Z4" s="66">
        <v>21</v>
      </c>
      <c r="AA4" s="26">
        <f>AA3</f>
        <v>0</v>
      </c>
      <c r="AB4" s="27">
        <f t="shared" ref="AB4:AB18" si="40">IF((AA4=0),0,Z4/AA4)</f>
        <v>0</v>
      </c>
      <c r="AC4" s="27">
        <f t="shared" si="5"/>
        <v>0</v>
      </c>
      <c r="AD4" s="66">
        <v>227</v>
      </c>
      <c r="AE4" s="26">
        <f>AE3</f>
        <v>1310</v>
      </c>
      <c r="AF4" s="27">
        <f t="shared" si="6"/>
        <v>0.1732824427480916</v>
      </c>
      <c r="AG4" s="27">
        <f t="shared" si="7"/>
        <v>1.5664732824427479</v>
      </c>
      <c r="AH4" s="66">
        <v>266</v>
      </c>
      <c r="AI4" s="26">
        <f>AI3</f>
        <v>1189</v>
      </c>
      <c r="AJ4" s="27">
        <f t="shared" ref="AJ4:AJ18" si="41">IF((AI4=0),0,AH4/AI4)</f>
        <v>0.22371740958788899</v>
      </c>
      <c r="AK4" s="27">
        <f t="shared" si="8"/>
        <v>2.0224053826745165</v>
      </c>
      <c r="AL4" s="66">
        <v>314</v>
      </c>
      <c r="AM4" s="26">
        <f>AM3</f>
        <v>1740</v>
      </c>
      <c r="AN4" s="27">
        <f t="shared" ref="AN4:AN18" si="42">IF((AM4=0),0,AL4/AM4)</f>
        <v>0.18045977011494252</v>
      </c>
      <c r="AO4" s="27">
        <f t="shared" si="9"/>
        <v>1.6313563218390803</v>
      </c>
      <c r="AP4" s="66">
        <v>338</v>
      </c>
      <c r="AQ4" s="26">
        <f>AQ3</f>
        <v>929</v>
      </c>
      <c r="AR4" s="27">
        <f t="shared" ref="AR4:AR18" si="43">IF((AQ4=0),0,AP4/AQ4)</f>
        <v>0.36383207750269109</v>
      </c>
      <c r="AS4" s="27">
        <f t="shared" si="10"/>
        <v>3.2890419806243272</v>
      </c>
      <c r="AT4" s="66">
        <v>277</v>
      </c>
      <c r="AU4" s="26">
        <f>AU3</f>
        <v>1595</v>
      </c>
      <c r="AV4" s="27">
        <f t="shared" ref="AV4:AV18" si="44">IF((AU4=0),0,AT4/AU4)</f>
        <v>0.17366771159874608</v>
      </c>
      <c r="AW4" s="27">
        <f t="shared" si="11"/>
        <v>1.5699561128526645</v>
      </c>
      <c r="AX4" s="66">
        <v>265</v>
      </c>
      <c r="AY4" s="26">
        <f>AY3</f>
        <v>1495</v>
      </c>
      <c r="AZ4" s="27">
        <f t="shared" ref="AZ4:AZ18" si="45">IF((AY4=0),0,AX4/AY4)</f>
        <v>0.17725752508361203</v>
      </c>
      <c r="BA4" s="27">
        <f t="shared" si="12"/>
        <v>1.6024080267558527</v>
      </c>
      <c r="BB4" s="66">
        <v>335</v>
      </c>
      <c r="BC4" s="26">
        <f>BC3</f>
        <v>1517</v>
      </c>
      <c r="BD4" s="27">
        <f t="shared" ref="BD4:BD18" si="46">IF((BC4=0),0,BB4/BC4)</f>
        <v>0.22083058668424521</v>
      </c>
      <c r="BE4" s="27">
        <f t="shared" si="13"/>
        <v>1.9963085036255765</v>
      </c>
      <c r="BF4" s="66">
        <v>166</v>
      </c>
      <c r="BG4" s="26">
        <f>BG3</f>
        <v>770</v>
      </c>
      <c r="BH4" s="27">
        <f t="shared" ref="BH4:BH18" si="47">IF((BG4=0),0,BF4/BG4)</f>
        <v>0.21558441558441557</v>
      </c>
      <c r="BI4" s="27">
        <f t="shared" si="14"/>
        <v>1.9488831168831167</v>
      </c>
      <c r="BJ4" s="66">
        <v>326</v>
      </c>
      <c r="BK4" s="26">
        <f>BK3</f>
        <v>2011</v>
      </c>
      <c r="BL4" s="27">
        <f t="shared" ref="BL4:BL18" si="48">IF((BK4=0),0,BJ4/BK4)</f>
        <v>0.16210840377921432</v>
      </c>
      <c r="BM4" s="27">
        <f t="shared" si="15"/>
        <v>1.4654599701640973</v>
      </c>
      <c r="BN4" s="66">
        <v>335</v>
      </c>
      <c r="BO4" s="26">
        <f>BO3</f>
        <v>1859</v>
      </c>
      <c r="BP4" s="27">
        <f t="shared" ref="BP4:BP18" si="49">IF((BO4=0),0,BN4/BO4)</f>
        <v>0.18020441097364173</v>
      </c>
      <c r="BQ4" s="27">
        <f t="shared" si="16"/>
        <v>1.629047875201721</v>
      </c>
      <c r="BR4" s="66">
        <v>338</v>
      </c>
      <c r="BS4" s="26">
        <f>BS3</f>
        <v>1800</v>
      </c>
      <c r="BT4" s="27">
        <f t="shared" ref="BT4:BT18" si="50">IF((BS4=0),0,BR4/BS4)</f>
        <v>0.18777777777777777</v>
      </c>
      <c r="BU4" s="27">
        <f t="shared" si="17"/>
        <v>1.6975111111111107</v>
      </c>
      <c r="BV4" s="66">
        <v>340</v>
      </c>
      <c r="BW4" s="26">
        <f>BW3</f>
        <v>1362</v>
      </c>
      <c r="BX4" s="27">
        <f t="shared" ref="BX4:BX18" si="51">IF((BW4=0),0,BV4/BW4)</f>
        <v>0.24963289280469897</v>
      </c>
      <c r="BY4" s="27">
        <f t="shared" si="18"/>
        <v>2.2566813509544783</v>
      </c>
      <c r="BZ4" s="66">
        <v>337</v>
      </c>
      <c r="CA4" s="26">
        <f>CA3</f>
        <v>1683</v>
      </c>
      <c r="CB4" s="27">
        <f t="shared" ref="CB4:CB18" si="52">IF((CA4=0),0,BZ4/CA4)</f>
        <v>0.20023767082590613</v>
      </c>
      <c r="CC4" s="27">
        <f t="shared" si="19"/>
        <v>1.8101485442661913</v>
      </c>
      <c r="CD4" s="66">
        <v>255</v>
      </c>
      <c r="CE4" s="26">
        <f>CE3</f>
        <v>1535</v>
      </c>
      <c r="CF4" s="27">
        <f t="shared" ref="CF4:CF18" si="53">IF((CE4=0),0,CD4/CE4)</f>
        <v>0.16612377850162866</v>
      </c>
      <c r="CG4" s="27">
        <f t="shared" si="20"/>
        <v>1.501758957654723</v>
      </c>
      <c r="CH4" s="66">
        <v>100</v>
      </c>
      <c r="CI4" s="26">
        <f>CI3</f>
        <v>799</v>
      </c>
      <c r="CJ4" s="27">
        <f t="shared" ref="CJ4:CJ18" si="54">IF((CI4=0),0,CH4/CI4)</f>
        <v>0.12515644555694619</v>
      </c>
      <c r="CK4" s="27">
        <f t="shared" si="21"/>
        <v>1.1314142678347934</v>
      </c>
      <c r="CL4" s="57">
        <v>314</v>
      </c>
      <c r="CM4" s="26">
        <f>CM3</f>
        <v>1820</v>
      </c>
      <c r="CN4" s="27">
        <f t="shared" ref="CN4:CN18" si="55">IF((CM4=0),0,CL4/CM4)</f>
        <v>0.17252747252747253</v>
      </c>
      <c r="CO4" s="27">
        <f t="shared" si="22"/>
        <v>1.5596483516483515</v>
      </c>
      <c r="CP4" s="8">
        <v>301</v>
      </c>
      <c r="CQ4" s="26">
        <f>CQ3</f>
        <v>1481</v>
      </c>
      <c r="CR4" s="27">
        <f t="shared" ref="CR4:CR18" si="56">IF((CQ4=0),0,CP4/CQ4)</f>
        <v>0.20324105334233625</v>
      </c>
      <c r="CS4" s="27">
        <f t="shared" si="23"/>
        <v>1.8372991222147195</v>
      </c>
      <c r="CT4" s="8">
        <v>337</v>
      </c>
      <c r="CU4" s="26">
        <f>CU3</f>
        <v>1654</v>
      </c>
      <c r="CV4" s="27">
        <f t="shared" ref="CV4:CV18" si="57">IF((CU4=0),0,CT4/CU4)</f>
        <v>0.2037484885126965</v>
      </c>
      <c r="CW4" s="27">
        <f t="shared" si="24"/>
        <v>1.8418863361547761</v>
      </c>
      <c r="CX4" s="8">
        <v>313</v>
      </c>
      <c r="CY4" s="26">
        <f>CY3</f>
        <v>2012</v>
      </c>
      <c r="CZ4" s="27">
        <f t="shared" ref="CZ4:CZ18" si="58">IF((CY4=0),0,CX4/CY4)</f>
        <v>0.1555666003976143</v>
      </c>
      <c r="DA4" s="27">
        <f t="shared" si="25"/>
        <v>1.4063220675944332</v>
      </c>
      <c r="DB4" s="63">
        <v>270</v>
      </c>
      <c r="DC4" s="26">
        <f>DC3</f>
        <v>1754</v>
      </c>
      <c r="DD4" s="27">
        <f t="shared" ref="DD4:DD18" si="59">IF((DC4=0),0,DB4/DC4)</f>
        <v>0.15393386545039908</v>
      </c>
      <c r="DE4" s="27">
        <f t="shared" si="26"/>
        <v>1.3915621436716075</v>
      </c>
      <c r="DF4" s="8">
        <v>301</v>
      </c>
      <c r="DG4" s="26">
        <f>DG3</f>
        <v>1893</v>
      </c>
      <c r="DH4" s="27">
        <f t="shared" ref="DH4:DH18" si="60">IF((DG4=0),0,DF4/DG4)</f>
        <v>0.15900686740623349</v>
      </c>
      <c r="DI4" s="27">
        <f t="shared" si="27"/>
        <v>1.4374220813523506</v>
      </c>
      <c r="DJ4" s="8">
        <v>230</v>
      </c>
      <c r="DK4" s="26">
        <f>DK3</f>
        <v>1442</v>
      </c>
      <c r="DL4" s="27">
        <f t="shared" ref="DL4:DL18" si="61">IF((DK4=0),0,DJ4/DK4)</f>
        <v>0.15950069348127602</v>
      </c>
      <c r="DM4" s="27">
        <f t="shared" si="28"/>
        <v>1.441886269070735</v>
      </c>
      <c r="DN4" s="8">
        <v>352</v>
      </c>
      <c r="DO4" s="26">
        <f>DO3</f>
        <v>1553</v>
      </c>
      <c r="DP4" s="27">
        <f t="shared" ref="DP4:DP18" si="62">IF((DO4=0),0,DN4/DO4)</f>
        <v>0.22665808113329042</v>
      </c>
      <c r="DQ4" s="27">
        <f t="shared" si="29"/>
        <v>2.0489890534449451</v>
      </c>
      <c r="DR4" s="8">
        <v>248</v>
      </c>
      <c r="DS4" s="26">
        <f>DS3</f>
        <v>253</v>
      </c>
      <c r="DT4" s="27">
        <f t="shared" ref="DT4:DT18" si="63">IF((DS4=0),0,DR4/DS4)</f>
        <v>0.98023715415019763</v>
      </c>
      <c r="DU4" s="27">
        <f t="shared" si="30"/>
        <v>8.8613438735177859</v>
      </c>
      <c r="DV4" s="8"/>
      <c r="DW4" s="26">
        <f>DW3</f>
        <v>0</v>
      </c>
      <c r="DX4" s="27">
        <f t="shared" ref="DX4:DX8" si="64">IF((DW4=0),0,DV4/DW4)</f>
        <v>0</v>
      </c>
      <c r="DY4" s="27">
        <f t="shared" si="31"/>
        <v>0</v>
      </c>
      <c r="DZ4" s="28">
        <f t="shared" ref="DZ4:DZ8" si="65">F4+J4+N4+R4+V4+Z4+AD4+AH4+AL4+AP4+AT4+AX4+BB4+BF4+BJ4+BN4+BR4+BV4+BZ4+CD4+CH4+CL4+CP4+CT4+CX4+DB4+DF4+DJ4+DN4+DR4+DV4</f>
        <v>8157</v>
      </c>
      <c r="EA4" s="28">
        <f t="shared" ref="EA4:EA8" si="66">G4+K4+O4+S4+W4+AA4+AI4+AM4+AQ4+AU4+AY4+BC4+BG4+BK4+BO4+BS4+BW4+CA4+CE4+CI4+CM4+CQ4+CU4+CY4+DC4+DG4+DK4+DO4+DS4+DW4</f>
        <v>40592</v>
      </c>
      <c r="EB4" s="33">
        <f t="shared" si="32"/>
        <v>0.20095092629089475</v>
      </c>
      <c r="EC4" s="33">
        <f t="shared" si="33"/>
        <v>1.8165963736696884</v>
      </c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30"/>
      <c r="EU4" s="30"/>
      <c r="EV4" s="30"/>
      <c r="EW4" s="30"/>
      <c r="EX4" s="30"/>
      <c r="EY4" s="30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</row>
    <row r="5" spans="1:274" s="32" customFormat="1" ht="25.5" x14ac:dyDescent="0.35">
      <c r="A5" s="24"/>
      <c r="B5" s="24"/>
      <c r="C5" s="24">
        <v>48</v>
      </c>
      <c r="D5" s="25" t="s">
        <v>304</v>
      </c>
      <c r="E5" s="34"/>
      <c r="F5" s="66">
        <v>0</v>
      </c>
      <c r="G5" s="26">
        <f>G3</f>
        <v>0</v>
      </c>
      <c r="H5" s="27">
        <f t="shared" si="34"/>
        <v>0</v>
      </c>
      <c r="I5" s="27">
        <f t="shared" si="35"/>
        <v>0</v>
      </c>
      <c r="J5" s="66">
        <v>11</v>
      </c>
      <c r="K5" s="26">
        <f>K3</f>
        <v>818</v>
      </c>
      <c r="L5" s="27">
        <f t="shared" si="36"/>
        <v>1.3447432762836185E-2</v>
      </c>
      <c r="M5" s="27">
        <f t="shared" si="1"/>
        <v>0.1215647921760391</v>
      </c>
      <c r="N5" s="66">
        <v>12</v>
      </c>
      <c r="O5" s="26">
        <f>O3</f>
        <v>1807</v>
      </c>
      <c r="P5" s="27">
        <f t="shared" si="37"/>
        <v>6.6408411732152743E-3</v>
      </c>
      <c r="Q5" s="27">
        <f t="shared" si="2"/>
        <v>6.0033204205866074E-2</v>
      </c>
      <c r="R5" s="66">
        <v>14</v>
      </c>
      <c r="S5" s="26">
        <f>S3</f>
        <v>2015</v>
      </c>
      <c r="T5" s="27">
        <f t="shared" si="38"/>
        <v>6.9478908188585608E-3</v>
      </c>
      <c r="U5" s="27">
        <f t="shared" si="3"/>
        <v>6.2808933002481387E-2</v>
      </c>
      <c r="V5" s="66">
        <v>12</v>
      </c>
      <c r="W5" s="26">
        <f>W3</f>
        <v>1806</v>
      </c>
      <c r="X5" s="27">
        <f t="shared" si="39"/>
        <v>6.6445182724252493E-3</v>
      </c>
      <c r="Y5" s="27">
        <f t="shared" si="4"/>
        <v>6.0066445182724248E-2</v>
      </c>
      <c r="Z5" s="66">
        <v>0</v>
      </c>
      <c r="AA5" s="26">
        <f>AA3</f>
        <v>0</v>
      </c>
      <c r="AB5" s="27">
        <f t="shared" si="40"/>
        <v>0</v>
      </c>
      <c r="AC5" s="27">
        <f t="shared" si="5"/>
        <v>0</v>
      </c>
      <c r="AD5" s="66">
        <v>10</v>
      </c>
      <c r="AE5" s="26">
        <f>AE3</f>
        <v>1310</v>
      </c>
      <c r="AF5" s="27">
        <f t="shared" si="6"/>
        <v>7.6335877862595417E-3</v>
      </c>
      <c r="AG5" s="27">
        <f t="shared" si="7"/>
        <v>6.9007633587786249E-2</v>
      </c>
      <c r="AH5" s="66">
        <v>12</v>
      </c>
      <c r="AI5" s="26">
        <f>AI3</f>
        <v>1189</v>
      </c>
      <c r="AJ5" s="27">
        <f t="shared" si="41"/>
        <v>1.0092514718250631E-2</v>
      </c>
      <c r="AK5" s="27">
        <f t="shared" si="8"/>
        <v>9.1236333052985702E-2</v>
      </c>
      <c r="AL5" s="66">
        <v>13</v>
      </c>
      <c r="AM5" s="26">
        <f>AM3</f>
        <v>1740</v>
      </c>
      <c r="AN5" s="27">
        <f t="shared" si="42"/>
        <v>7.4712643678160919E-3</v>
      </c>
      <c r="AO5" s="27">
        <f t="shared" si="9"/>
        <v>6.7540229885057465E-2</v>
      </c>
      <c r="AP5" s="66">
        <v>11</v>
      </c>
      <c r="AQ5" s="26">
        <f>AQ3</f>
        <v>929</v>
      </c>
      <c r="AR5" s="27">
        <f t="shared" si="43"/>
        <v>1.1840688912809472E-2</v>
      </c>
      <c r="AS5" s="27">
        <f t="shared" si="10"/>
        <v>0.10703982777179762</v>
      </c>
      <c r="AT5" s="66">
        <v>14</v>
      </c>
      <c r="AU5" s="26">
        <f>AU3</f>
        <v>1595</v>
      </c>
      <c r="AV5" s="27">
        <f t="shared" si="44"/>
        <v>8.7774294670846398E-3</v>
      </c>
      <c r="AW5" s="27">
        <f t="shared" si="11"/>
        <v>7.9347962382445139E-2</v>
      </c>
      <c r="AX5" s="66">
        <v>16</v>
      </c>
      <c r="AY5" s="26">
        <f>AY3</f>
        <v>1495</v>
      </c>
      <c r="AZ5" s="27">
        <f t="shared" si="45"/>
        <v>1.0702341137123745E-2</v>
      </c>
      <c r="BA5" s="27">
        <f t="shared" si="12"/>
        <v>9.6749163879598643E-2</v>
      </c>
      <c r="BB5" s="66">
        <v>11</v>
      </c>
      <c r="BC5" s="26">
        <f>BC3</f>
        <v>1517</v>
      </c>
      <c r="BD5" s="27">
        <f t="shared" si="46"/>
        <v>7.2511535926170073E-3</v>
      </c>
      <c r="BE5" s="27">
        <f t="shared" si="13"/>
        <v>6.5550428477257741E-2</v>
      </c>
      <c r="BF5" s="66">
        <v>9</v>
      </c>
      <c r="BG5" s="26">
        <f>BG3</f>
        <v>770</v>
      </c>
      <c r="BH5" s="27">
        <f t="shared" si="47"/>
        <v>1.1688311688311689E-2</v>
      </c>
      <c r="BI5" s="27">
        <f t="shared" si="14"/>
        <v>0.10566233766233765</v>
      </c>
      <c r="BJ5" s="66">
        <v>13</v>
      </c>
      <c r="BK5" s="26">
        <f>BK3</f>
        <v>2011</v>
      </c>
      <c r="BL5" s="27">
        <f t="shared" si="48"/>
        <v>6.4644455494778713E-3</v>
      </c>
      <c r="BM5" s="27">
        <f t="shared" si="15"/>
        <v>5.8438587767279948E-2</v>
      </c>
      <c r="BN5" s="66">
        <v>14</v>
      </c>
      <c r="BO5" s="26">
        <f>BO3</f>
        <v>1859</v>
      </c>
      <c r="BP5" s="27">
        <f t="shared" si="49"/>
        <v>7.5309306078536848E-3</v>
      </c>
      <c r="BQ5" s="27">
        <f t="shared" si="16"/>
        <v>6.8079612694997307E-2</v>
      </c>
      <c r="BR5" s="66">
        <v>13</v>
      </c>
      <c r="BS5" s="26">
        <f>BS3</f>
        <v>1800</v>
      </c>
      <c r="BT5" s="27">
        <f t="shared" si="50"/>
        <v>7.2222222222222219E-3</v>
      </c>
      <c r="BU5" s="27">
        <f t="shared" si="17"/>
        <v>6.5288888888888882E-2</v>
      </c>
      <c r="BV5" s="66">
        <v>13</v>
      </c>
      <c r="BW5" s="26">
        <f>BW3</f>
        <v>1362</v>
      </c>
      <c r="BX5" s="27">
        <f t="shared" si="51"/>
        <v>9.544787077826725E-3</v>
      </c>
      <c r="BY5" s="27">
        <f t="shared" si="18"/>
        <v>8.6284875183553586E-2</v>
      </c>
      <c r="BZ5" s="66">
        <v>13</v>
      </c>
      <c r="CA5" s="26">
        <f>CA3</f>
        <v>1683</v>
      </c>
      <c r="CB5" s="27">
        <f t="shared" si="52"/>
        <v>7.7243018419489006E-3</v>
      </c>
      <c r="CC5" s="27">
        <f t="shared" si="19"/>
        <v>6.9827688651218051E-2</v>
      </c>
      <c r="CD5" s="66">
        <v>12</v>
      </c>
      <c r="CE5" s="26">
        <f>CE3</f>
        <v>1535</v>
      </c>
      <c r="CF5" s="27">
        <f t="shared" si="53"/>
        <v>7.8175895765472316E-3</v>
      </c>
      <c r="CG5" s="27">
        <f t="shared" si="20"/>
        <v>7.0671009771986967E-2</v>
      </c>
      <c r="CH5" s="66">
        <v>6</v>
      </c>
      <c r="CI5" s="26">
        <f>CI3</f>
        <v>799</v>
      </c>
      <c r="CJ5" s="27">
        <f t="shared" si="54"/>
        <v>7.5093867334167707E-3</v>
      </c>
      <c r="CK5" s="27">
        <f t="shared" si="21"/>
        <v>6.7884856070087596E-2</v>
      </c>
      <c r="CL5" s="57">
        <v>12</v>
      </c>
      <c r="CM5" s="26">
        <f>CM3</f>
        <v>1820</v>
      </c>
      <c r="CN5" s="27">
        <f t="shared" si="55"/>
        <v>6.5934065934065934E-3</v>
      </c>
      <c r="CO5" s="27">
        <f t="shared" si="22"/>
        <v>5.9604395604395601E-2</v>
      </c>
      <c r="CP5" s="8">
        <v>10</v>
      </c>
      <c r="CQ5" s="26">
        <f>CQ3</f>
        <v>1481</v>
      </c>
      <c r="CR5" s="27">
        <f t="shared" si="56"/>
        <v>6.75219446320054E-3</v>
      </c>
      <c r="CS5" s="27">
        <f t="shared" si="23"/>
        <v>6.1039837947332878E-2</v>
      </c>
      <c r="CT5" s="8">
        <v>12</v>
      </c>
      <c r="CU5" s="26">
        <f>CU3</f>
        <v>1654</v>
      </c>
      <c r="CV5" s="27">
        <f t="shared" si="57"/>
        <v>7.2551390568319227E-3</v>
      </c>
      <c r="CW5" s="27">
        <f t="shared" si="24"/>
        <v>6.5586457073760582E-2</v>
      </c>
      <c r="CX5" s="8">
        <v>13</v>
      </c>
      <c r="CY5" s="26">
        <f>CY3</f>
        <v>2012</v>
      </c>
      <c r="CZ5" s="27">
        <f t="shared" si="58"/>
        <v>6.4612326043737576E-3</v>
      </c>
      <c r="DA5" s="27">
        <f t="shared" si="25"/>
        <v>5.840954274353876E-2</v>
      </c>
      <c r="DB5" s="63">
        <v>13</v>
      </c>
      <c r="DC5" s="26">
        <f>DC3</f>
        <v>1754</v>
      </c>
      <c r="DD5" s="27">
        <f t="shared" si="59"/>
        <v>7.4116305587229193E-3</v>
      </c>
      <c r="DE5" s="27">
        <f t="shared" si="26"/>
        <v>6.7001140250855185E-2</v>
      </c>
      <c r="DF5" s="8">
        <v>13</v>
      </c>
      <c r="DG5" s="26">
        <f>DG3</f>
        <v>1893</v>
      </c>
      <c r="DH5" s="27">
        <f t="shared" si="60"/>
        <v>6.8674062334918122E-3</v>
      </c>
      <c r="DI5" s="27">
        <f t="shared" si="27"/>
        <v>6.2081352350765978E-2</v>
      </c>
      <c r="DJ5" s="8">
        <v>18</v>
      </c>
      <c r="DK5" s="26">
        <f>DK3</f>
        <v>1442</v>
      </c>
      <c r="DL5" s="27">
        <f t="shared" si="61"/>
        <v>1.2482662968099861E-2</v>
      </c>
      <c r="DM5" s="27">
        <f t="shared" si="28"/>
        <v>0.11284327323162273</v>
      </c>
      <c r="DN5" s="8">
        <v>8</v>
      </c>
      <c r="DO5" s="26">
        <f>DO3</f>
        <v>1553</v>
      </c>
      <c r="DP5" s="27">
        <f t="shared" si="62"/>
        <v>5.1513200257566E-3</v>
      </c>
      <c r="DQ5" s="27">
        <f t="shared" si="29"/>
        <v>4.656793303283966E-2</v>
      </c>
      <c r="DR5" s="8">
        <v>11</v>
      </c>
      <c r="DS5" s="26">
        <f>DS3</f>
        <v>253</v>
      </c>
      <c r="DT5" s="27">
        <f t="shared" si="63"/>
        <v>4.3478260869565216E-2</v>
      </c>
      <c r="DU5" s="27">
        <f t="shared" si="30"/>
        <v>0.39304347826086949</v>
      </c>
      <c r="DV5" s="8"/>
      <c r="DW5" s="26">
        <f>DW3</f>
        <v>0</v>
      </c>
      <c r="DX5" s="27">
        <f t="shared" si="64"/>
        <v>0</v>
      </c>
      <c r="DY5" s="27">
        <f t="shared" si="31"/>
        <v>0</v>
      </c>
      <c r="DZ5" s="28">
        <f t="shared" si="65"/>
        <v>339</v>
      </c>
      <c r="EA5" s="28">
        <f t="shared" si="66"/>
        <v>40592</v>
      </c>
      <c r="EB5" s="33">
        <f t="shared" si="32"/>
        <v>8.3513992905005913E-3</v>
      </c>
      <c r="EC5" s="33">
        <f t="shared" si="33"/>
        <v>7.5496649586125342E-2</v>
      </c>
    </row>
    <row r="6" spans="1:274" s="32" customFormat="1" ht="25.5" x14ac:dyDescent="0.35">
      <c r="A6" s="24"/>
      <c r="B6" s="24"/>
      <c r="C6" s="24">
        <v>38</v>
      </c>
      <c r="D6" s="25" t="s">
        <v>296</v>
      </c>
      <c r="E6" s="34"/>
      <c r="F6" s="66">
        <v>1</v>
      </c>
      <c r="G6" s="26">
        <f>'Production data'!B3</f>
        <v>0</v>
      </c>
      <c r="H6" s="27">
        <f t="shared" si="34"/>
        <v>0</v>
      </c>
      <c r="I6" s="27">
        <f t="shared" si="35"/>
        <v>0</v>
      </c>
      <c r="J6" s="66">
        <v>34</v>
      </c>
      <c r="K6" s="26">
        <f>'Production data'!C3</f>
        <v>331</v>
      </c>
      <c r="L6" s="27">
        <f t="shared" si="36"/>
        <v>0.1027190332326284</v>
      </c>
      <c r="M6" s="27">
        <f t="shared" si="1"/>
        <v>0.92858006042296071</v>
      </c>
      <c r="N6" s="66">
        <v>36</v>
      </c>
      <c r="O6" s="26">
        <f>'Production data'!D3</f>
        <v>1041</v>
      </c>
      <c r="P6" s="27">
        <f t="shared" si="37"/>
        <v>3.4582132564841501E-2</v>
      </c>
      <c r="Q6" s="27">
        <f t="shared" si="2"/>
        <v>0.31262247838616714</v>
      </c>
      <c r="R6" s="66">
        <v>40</v>
      </c>
      <c r="S6" s="26">
        <f>'Production data'!E3</f>
        <v>955</v>
      </c>
      <c r="T6" s="27">
        <f t="shared" si="38"/>
        <v>4.1884816753926704E-2</v>
      </c>
      <c r="U6" s="27">
        <f t="shared" si="3"/>
        <v>0.37863874345549736</v>
      </c>
      <c r="V6" s="66">
        <v>29</v>
      </c>
      <c r="W6" s="26">
        <f>'Production data'!F3</f>
        <v>396</v>
      </c>
      <c r="X6" s="27">
        <f t="shared" si="39"/>
        <v>7.3232323232323232E-2</v>
      </c>
      <c r="Y6" s="27">
        <f t="shared" si="4"/>
        <v>0.66202020202020195</v>
      </c>
      <c r="Z6" s="66">
        <v>1</v>
      </c>
      <c r="AA6" s="26">
        <f>'Production data'!G3</f>
        <v>0</v>
      </c>
      <c r="AB6" s="27">
        <f t="shared" si="40"/>
        <v>0</v>
      </c>
      <c r="AC6" s="27">
        <f t="shared" si="5"/>
        <v>0</v>
      </c>
      <c r="AD6" s="66">
        <v>38</v>
      </c>
      <c r="AE6" s="26">
        <f>'Production data'!H3</f>
        <v>771</v>
      </c>
      <c r="AF6" s="27">
        <f t="shared" si="6"/>
        <v>4.9286640726329441E-2</v>
      </c>
      <c r="AG6" s="27">
        <f t="shared" si="7"/>
        <v>0.44555123216601811</v>
      </c>
      <c r="AH6" s="66">
        <v>21</v>
      </c>
      <c r="AI6" s="26">
        <f>'Production data'!I3</f>
        <v>537</v>
      </c>
      <c r="AJ6" s="27">
        <f t="shared" si="41"/>
        <v>3.9106145251396648E-2</v>
      </c>
      <c r="AK6" s="27">
        <f t="shared" si="8"/>
        <v>0.35351955307262567</v>
      </c>
      <c r="AL6" s="66">
        <v>52</v>
      </c>
      <c r="AM6" s="26">
        <f>'Production data'!J3</f>
        <v>1075</v>
      </c>
      <c r="AN6" s="27">
        <f t="shared" si="42"/>
        <v>4.8372093023255812E-2</v>
      </c>
      <c r="AO6" s="27">
        <f t="shared" si="9"/>
        <v>0.43728372093023249</v>
      </c>
      <c r="AP6" s="66">
        <v>41</v>
      </c>
      <c r="AQ6" s="26">
        <f>'Production data'!K3</f>
        <v>466</v>
      </c>
      <c r="AR6" s="27">
        <f t="shared" si="43"/>
        <v>8.7982832618025753E-2</v>
      </c>
      <c r="AS6" s="27">
        <f t="shared" si="10"/>
        <v>0.79536480686695277</v>
      </c>
      <c r="AT6" s="66">
        <v>46</v>
      </c>
      <c r="AU6" s="26">
        <f>'Production data'!L3</f>
        <v>881</v>
      </c>
      <c r="AV6" s="27">
        <f t="shared" si="44"/>
        <v>5.2213393870601588E-2</v>
      </c>
      <c r="AW6" s="27">
        <f t="shared" si="11"/>
        <v>0.47200908059023833</v>
      </c>
      <c r="AX6" s="66">
        <v>44</v>
      </c>
      <c r="AY6" s="26">
        <f>'Production data'!M3</f>
        <v>766</v>
      </c>
      <c r="AZ6" s="27">
        <f t="shared" si="45"/>
        <v>5.7441253263707574E-2</v>
      </c>
      <c r="BA6" s="27">
        <f t="shared" si="12"/>
        <v>0.51926892950391645</v>
      </c>
      <c r="BB6" s="66">
        <v>41</v>
      </c>
      <c r="BC6" s="26">
        <f>'Production data'!N3</f>
        <v>726</v>
      </c>
      <c r="BD6" s="27">
        <f t="shared" si="46"/>
        <v>5.647382920110193E-2</v>
      </c>
      <c r="BE6" s="27">
        <f t="shared" si="13"/>
        <v>0.51052341597796136</v>
      </c>
      <c r="BF6" s="66">
        <v>17</v>
      </c>
      <c r="BG6" s="26">
        <f>'Production data'!O3</f>
        <v>300</v>
      </c>
      <c r="BH6" s="27">
        <f t="shared" si="47"/>
        <v>5.6666666666666664E-2</v>
      </c>
      <c r="BI6" s="27">
        <f t="shared" si="14"/>
        <v>0.51226666666666665</v>
      </c>
      <c r="BJ6" s="66">
        <v>43</v>
      </c>
      <c r="BK6" s="26">
        <f>'Production data'!P3</f>
        <v>876</v>
      </c>
      <c r="BL6" s="27">
        <f t="shared" si="48"/>
        <v>4.9086757990867577E-2</v>
      </c>
      <c r="BM6" s="27">
        <f t="shared" si="15"/>
        <v>0.44374429223744288</v>
      </c>
      <c r="BN6" s="66">
        <v>41</v>
      </c>
      <c r="BO6" s="26">
        <f>'Production data'!Q3</f>
        <v>978</v>
      </c>
      <c r="BP6" s="27">
        <f t="shared" si="49"/>
        <v>4.1922290388548056E-2</v>
      </c>
      <c r="BQ6" s="27">
        <f t="shared" si="16"/>
        <v>0.37897750511247441</v>
      </c>
      <c r="BR6" s="66">
        <v>38</v>
      </c>
      <c r="BS6" s="26">
        <f>'Production data'!R3</f>
        <v>1037</v>
      </c>
      <c r="BT6" s="27">
        <f t="shared" si="50"/>
        <v>3.6644165863066541E-2</v>
      </c>
      <c r="BU6" s="27">
        <f t="shared" si="17"/>
        <v>0.33126325940212148</v>
      </c>
      <c r="BV6" s="66">
        <v>39</v>
      </c>
      <c r="BW6" s="26">
        <f>'Production data'!S3</f>
        <v>816</v>
      </c>
      <c r="BX6" s="27">
        <f t="shared" si="51"/>
        <v>4.779411764705882E-2</v>
      </c>
      <c r="BY6" s="27">
        <f t="shared" si="18"/>
        <v>0.43205882352941172</v>
      </c>
      <c r="BZ6" s="66">
        <v>13</v>
      </c>
      <c r="CA6" s="26">
        <f>'Production data'!T3</f>
        <v>0</v>
      </c>
      <c r="CB6" s="27">
        <f t="shared" si="52"/>
        <v>0</v>
      </c>
      <c r="CC6" s="27">
        <f t="shared" si="19"/>
        <v>0</v>
      </c>
      <c r="CD6" s="66">
        <v>36</v>
      </c>
      <c r="CE6" s="26">
        <f>'Production data'!U3</f>
        <v>881</v>
      </c>
      <c r="CF6" s="27">
        <f t="shared" si="53"/>
        <v>4.0862656072644721E-2</v>
      </c>
      <c r="CG6" s="27">
        <f t="shared" si="20"/>
        <v>0.36939841089670822</v>
      </c>
      <c r="CH6" s="66">
        <v>19</v>
      </c>
      <c r="CI6" s="26">
        <f>'Production data'!V3</f>
        <v>369</v>
      </c>
      <c r="CJ6" s="27">
        <f t="shared" si="54"/>
        <v>5.1490514905149054E-2</v>
      </c>
      <c r="CK6" s="27">
        <f t="shared" si="21"/>
        <v>0.46547425474254739</v>
      </c>
      <c r="CL6" s="57">
        <v>29</v>
      </c>
      <c r="CM6" s="26">
        <f>'Production data'!W3</f>
        <v>495</v>
      </c>
      <c r="CN6" s="27">
        <f t="shared" si="55"/>
        <v>5.8585858585858588E-2</v>
      </c>
      <c r="CO6" s="27">
        <f t="shared" si="22"/>
        <v>0.52961616161616154</v>
      </c>
      <c r="CP6" s="8">
        <v>19</v>
      </c>
      <c r="CQ6" s="26">
        <f>'Production data'!X3</f>
        <v>704</v>
      </c>
      <c r="CR6" s="27">
        <f t="shared" si="56"/>
        <v>2.6988636363636364E-2</v>
      </c>
      <c r="CS6" s="27">
        <f t="shared" si="23"/>
        <v>0.24397727272727271</v>
      </c>
      <c r="CT6" s="8">
        <v>43</v>
      </c>
      <c r="CU6" s="26">
        <f>'Production data'!Y3</f>
        <v>955</v>
      </c>
      <c r="CV6" s="27">
        <f t="shared" si="57"/>
        <v>4.5026178010471207E-2</v>
      </c>
      <c r="CW6" s="27">
        <f t="shared" si="24"/>
        <v>0.40703664921465965</v>
      </c>
      <c r="CX6" s="8">
        <v>25</v>
      </c>
      <c r="CY6" s="26">
        <f>'Production data'!Z3</f>
        <v>248</v>
      </c>
      <c r="CZ6" s="27">
        <f t="shared" si="58"/>
        <v>0.10080645161290322</v>
      </c>
      <c r="DA6" s="27">
        <f t="shared" si="25"/>
        <v>0.91129032258064502</v>
      </c>
      <c r="DB6" s="63">
        <v>32</v>
      </c>
      <c r="DC6" s="26">
        <f>'Production data'!AA3</f>
        <v>510</v>
      </c>
      <c r="DD6" s="27">
        <f t="shared" si="59"/>
        <v>6.2745098039215685E-2</v>
      </c>
      <c r="DE6" s="27">
        <f t="shared" si="26"/>
        <v>0.56721568627450969</v>
      </c>
      <c r="DF6" s="8">
        <v>40</v>
      </c>
      <c r="DG6" s="26">
        <f>'Production data'!AB3</f>
        <v>706</v>
      </c>
      <c r="DH6" s="27">
        <f t="shared" si="60"/>
        <v>5.6657223796033995E-2</v>
      </c>
      <c r="DI6" s="27">
        <f t="shared" si="27"/>
        <v>0.51218130311614729</v>
      </c>
      <c r="DJ6" s="8">
        <v>40</v>
      </c>
      <c r="DK6" s="26">
        <f>'Production data'!AC3</f>
        <v>652</v>
      </c>
      <c r="DL6" s="27">
        <f t="shared" si="61"/>
        <v>6.1349693251533742E-2</v>
      </c>
      <c r="DM6" s="27">
        <f t="shared" si="28"/>
        <v>0.55460122699386494</v>
      </c>
      <c r="DN6" s="8">
        <v>41</v>
      </c>
      <c r="DO6" s="26">
        <f>'Production data'!AD3</f>
        <v>932</v>
      </c>
      <c r="DP6" s="27">
        <f t="shared" si="62"/>
        <v>4.3991416309012876E-2</v>
      </c>
      <c r="DQ6" s="27">
        <f t="shared" si="29"/>
        <v>0.39768240343347638</v>
      </c>
      <c r="DR6" s="8">
        <v>21</v>
      </c>
      <c r="DS6" s="26">
        <f>'Production data'!AE3</f>
        <v>154</v>
      </c>
      <c r="DT6" s="27">
        <f t="shared" si="63"/>
        <v>0.13636363636363635</v>
      </c>
      <c r="DU6" s="27">
        <f t="shared" si="30"/>
        <v>1.2327272727272724</v>
      </c>
      <c r="DV6" s="8"/>
      <c r="DW6" s="26">
        <f>'Production data'!AF3</f>
        <v>0</v>
      </c>
      <c r="DX6" s="27">
        <f t="shared" si="64"/>
        <v>0</v>
      </c>
      <c r="DY6" s="27">
        <f t="shared" si="31"/>
        <v>0</v>
      </c>
      <c r="DZ6" s="28">
        <f t="shared" si="65"/>
        <v>960</v>
      </c>
      <c r="EA6" s="28">
        <f t="shared" si="66"/>
        <v>17787</v>
      </c>
      <c r="EB6" s="33">
        <f t="shared" si="32"/>
        <v>5.3972002023950076E-2</v>
      </c>
      <c r="EC6" s="33">
        <f t="shared" si="33"/>
        <v>0.48790689829650863</v>
      </c>
    </row>
    <row r="7" spans="1:274" s="32" customFormat="1" ht="25.5" x14ac:dyDescent="0.35">
      <c r="A7" s="24"/>
      <c r="B7" s="24"/>
      <c r="C7" s="24">
        <v>50</v>
      </c>
      <c r="D7" s="25" t="s">
        <v>324</v>
      </c>
      <c r="E7" s="34"/>
      <c r="F7" s="66">
        <v>0</v>
      </c>
      <c r="G7" s="26">
        <f>'Production data'!B4</f>
        <v>0</v>
      </c>
      <c r="H7" s="27">
        <f t="shared" si="34"/>
        <v>0</v>
      </c>
      <c r="I7" s="27">
        <f t="shared" si="35"/>
        <v>0</v>
      </c>
      <c r="J7" s="66">
        <v>0</v>
      </c>
      <c r="K7" s="26">
        <f>'Production data'!C4</f>
        <v>0</v>
      </c>
      <c r="L7" s="27">
        <f t="shared" si="36"/>
        <v>0</v>
      </c>
      <c r="M7" s="27">
        <f t="shared" si="1"/>
        <v>0</v>
      </c>
      <c r="N7" s="66">
        <v>22</v>
      </c>
      <c r="O7" s="26">
        <f>'Production data'!D4</f>
        <v>0</v>
      </c>
      <c r="P7" s="27">
        <f t="shared" si="37"/>
        <v>0</v>
      </c>
      <c r="Q7" s="27">
        <f t="shared" si="2"/>
        <v>0</v>
      </c>
      <c r="R7" s="66">
        <v>22</v>
      </c>
      <c r="S7" s="26">
        <f>'Production data'!E4</f>
        <v>0</v>
      </c>
      <c r="T7" s="27">
        <f t="shared" si="38"/>
        <v>0</v>
      </c>
      <c r="U7" s="27">
        <f t="shared" si="3"/>
        <v>0</v>
      </c>
      <c r="V7" s="66">
        <v>17</v>
      </c>
      <c r="W7" s="26">
        <f>'Production data'!F4</f>
        <v>0</v>
      </c>
      <c r="X7" s="27">
        <f t="shared" si="39"/>
        <v>0</v>
      </c>
      <c r="Y7" s="27">
        <f t="shared" si="4"/>
        <v>0</v>
      </c>
      <c r="Z7" s="66">
        <v>1</v>
      </c>
      <c r="AA7" s="26">
        <f>'Production data'!G4</f>
        <v>0</v>
      </c>
      <c r="AB7" s="27">
        <f t="shared" si="40"/>
        <v>0</v>
      </c>
      <c r="AC7" s="27">
        <f t="shared" si="5"/>
        <v>0</v>
      </c>
      <c r="AD7" s="66">
        <v>20</v>
      </c>
      <c r="AE7" s="26">
        <f>'Production data'!H4</f>
        <v>0</v>
      </c>
      <c r="AF7" s="27">
        <f t="shared" si="6"/>
        <v>0</v>
      </c>
      <c r="AG7" s="27">
        <f t="shared" si="7"/>
        <v>0</v>
      </c>
      <c r="AH7" s="66">
        <v>20</v>
      </c>
      <c r="AI7" s="26">
        <f>'Production data'!I4</f>
        <v>0</v>
      </c>
      <c r="AJ7" s="27">
        <f t="shared" si="41"/>
        <v>0</v>
      </c>
      <c r="AK7" s="27">
        <f t="shared" si="8"/>
        <v>0</v>
      </c>
      <c r="AL7" s="66">
        <v>23</v>
      </c>
      <c r="AM7" s="26">
        <f>'Production data'!J4</f>
        <v>0</v>
      </c>
      <c r="AN7" s="27">
        <f t="shared" si="42"/>
        <v>0</v>
      </c>
      <c r="AO7" s="27">
        <f t="shared" si="9"/>
        <v>0</v>
      </c>
      <c r="AP7" s="66">
        <v>18</v>
      </c>
      <c r="AQ7" s="26">
        <f>'Production data'!K4</f>
        <v>0</v>
      </c>
      <c r="AR7" s="27">
        <f t="shared" si="43"/>
        <v>0</v>
      </c>
      <c r="AS7" s="27">
        <f t="shared" si="10"/>
        <v>0</v>
      </c>
      <c r="AT7" s="66">
        <v>21</v>
      </c>
      <c r="AU7" s="26">
        <f>'Production data'!L4</f>
        <v>0</v>
      </c>
      <c r="AV7" s="27">
        <f t="shared" si="44"/>
        <v>0</v>
      </c>
      <c r="AW7" s="27">
        <f t="shared" si="11"/>
        <v>0</v>
      </c>
      <c r="AX7" s="66">
        <v>20</v>
      </c>
      <c r="AY7" s="26">
        <f>'Production data'!M4</f>
        <v>0</v>
      </c>
      <c r="AZ7" s="27">
        <f t="shared" si="45"/>
        <v>0</v>
      </c>
      <c r="BA7" s="27">
        <f t="shared" si="12"/>
        <v>0</v>
      </c>
      <c r="BB7" s="66">
        <v>12</v>
      </c>
      <c r="BC7" s="26">
        <f>'Production data'!N4</f>
        <v>0</v>
      </c>
      <c r="BD7" s="27">
        <f t="shared" si="46"/>
        <v>0</v>
      </c>
      <c r="BE7" s="27">
        <f t="shared" si="13"/>
        <v>0</v>
      </c>
      <c r="BF7" s="66">
        <v>11</v>
      </c>
      <c r="BG7" s="26">
        <f>'Production data'!O4</f>
        <v>0</v>
      </c>
      <c r="BH7" s="27">
        <f t="shared" si="47"/>
        <v>0</v>
      </c>
      <c r="BI7" s="27">
        <f t="shared" si="14"/>
        <v>0</v>
      </c>
      <c r="BJ7" s="66">
        <v>20</v>
      </c>
      <c r="BK7" s="26">
        <f>'Production data'!P4</f>
        <v>0</v>
      </c>
      <c r="BL7" s="27">
        <f t="shared" si="48"/>
        <v>0</v>
      </c>
      <c r="BM7" s="27">
        <f t="shared" si="15"/>
        <v>0</v>
      </c>
      <c r="BN7" s="66">
        <v>20</v>
      </c>
      <c r="BO7" s="26">
        <f>'Production data'!Q4</f>
        <v>0</v>
      </c>
      <c r="BP7" s="27">
        <f t="shared" si="49"/>
        <v>0</v>
      </c>
      <c r="BQ7" s="27">
        <f t="shared" si="16"/>
        <v>0</v>
      </c>
      <c r="BR7" s="66">
        <v>20</v>
      </c>
      <c r="BS7" s="26">
        <f>'Production data'!R4</f>
        <v>0</v>
      </c>
      <c r="BT7" s="27">
        <f t="shared" si="50"/>
        <v>0</v>
      </c>
      <c r="BU7" s="27">
        <f t="shared" si="17"/>
        <v>0</v>
      </c>
      <c r="BV7" s="66">
        <v>17</v>
      </c>
      <c r="BW7" s="26">
        <f>'Production data'!S4</f>
        <v>0</v>
      </c>
      <c r="BX7" s="27">
        <f t="shared" si="51"/>
        <v>0</v>
      </c>
      <c r="BY7" s="27">
        <f t="shared" si="18"/>
        <v>0</v>
      </c>
      <c r="BZ7" s="66">
        <v>6</v>
      </c>
      <c r="CA7" s="26">
        <f>'Production data'!T4</f>
        <v>0</v>
      </c>
      <c r="CB7" s="27">
        <f t="shared" si="52"/>
        <v>0</v>
      </c>
      <c r="CC7" s="27">
        <f t="shared" si="19"/>
        <v>0</v>
      </c>
      <c r="CD7" s="66">
        <v>17</v>
      </c>
      <c r="CE7" s="26">
        <f>'Production data'!U4</f>
        <v>0</v>
      </c>
      <c r="CF7" s="27">
        <f t="shared" si="53"/>
        <v>0</v>
      </c>
      <c r="CG7" s="27">
        <f t="shared" si="20"/>
        <v>0</v>
      </c>
      <c r="CH7" s="66">
        <v>9</v>
      </c>
      <c r="CI7" s="26">
        <f>'Production data'!V4</f>
        <v>0</v>
      </c>
      <c r="CJ7" s="27">
        <f t="shared" si="54"/>
        <v>0</v>
      </c>
      <c r="CK7" s="27">
        <f t="shared" si="21"/>
        <v>0</v>
      </c>
      <c r="CL7" s="57">
        <v>13</v>
      </c>
      <c r="CM7" s="26">
        <f>'Production data'!W4</f>
        <v>0</v>
      </c>
      <c r="CN7" s="27">
        <f t="shared" si="55"/>
        <v>0</v>
      </c>
      <c r="CO7" s="27">
        <f t="shared" si="22"/>
        <v>0</v>
      </c>
      <c r="CP7" s="8">
        <v>14</v>
      </c>
      <c r="CQ7" s="26">
        <f>'Production data'!X4</f>
        <v>0</v>
      </c>
      <c r="CR7" s="27">
        <f t="shared" si="56"/>
        <v>0</v>
      </c>
      <c r="CS7" s="27">
        <f t="shared" si="23"/>
        <v>0</v>
      </c>
      <c r="CT7" s="8">
        <v>22</v>
      </c>
      <c r="CU7" s="26">
        <f>'Production data'!Y4</f>
        <v>0</v>
      </c>
      <c r="CV7" s="27">
        <f t="shared" si="57"/>
        <v>0</v>
      </c>
      <c r="CW7" s="27">
        <f t="shared" si="24"/>
        <v>0</v>
      </c>
      <c r="CX7" s="8">
        <v>16</v>
      </c>
      <c r="CY7" s="26">
        <f>'Production data'!Z4</f>
        <v>0</v>
      </c>
      <c r="CZ7" s="27">
        <f t="shared" si="58"/>
        <v>0</v>
      </c>
      <c r="DA7" s="27">
        <f t="shared" si="25"/>
        <v>0</v>
      </c>
      <c r="DB7" s="63">
        <v>14</v>
      </c>
      <c r="DC7" s="26">
        <f>'Production data'!AA4</f>
        <v>0</v>
      </c>
      <c r="DD7" s="27">
        <f t="shared" si="59"/>
        <v>0</v>
      </c>
      <c r="DE7" s="27">
        <f t="shared" si="26"/>
        <v>0</v>
      </c>
      <c r="DF7" s="8">
        <v>66</v>
      </c>
      <c r="DG7" s="26">
        <f>'Production data'!AB4</f>
        <v>0</v>
      </c>
      <c r="DH7" s="27">
        <f t="shared" si="60"/>
        <v>0</v>
      </c>
      <c r="DI7" s="27">
        <f t="shared" si="27"/>
        <v>0</v>
      </c>
      <c r="DJ7" s="8">
        <v>4</v>
      </c>
      <c r="DK7" s="26">
        <f>'Production data'!AC4</f>
        <v>0</v>
      </c>
      <c r="DL7" s="27">
        <f t="shared" si="61"/>
        <v>0</v>
      </c>
      <c r="DM7" s="27">
        <f t="shared" si="28"/>
        <v>0</v>
      </c>
      <c r="DN7" s="8">
        <v>19</v>
      </c>
      <c r="DO7" s="26">
        <f>'Production data'!AD4</f>
        <v>0</v>
      </c>
      <c r="DP7" s="27">
        <f t="shared" si="62"/>
        <v>0</v>
      </c>
      <c r="DQ7" s="27">
        <f t="shared" si="29"/>
        <v>0</v>
      </c>
      <c r="DR7" s="8">
        <v>9</v>
      </c>
      <c r="DS7" s="26">
        <f>'Production data'!AE4</f>
        <v>0</v>
      </c>
      <c r="DT7" s="27">
        <f t="shared" si="63"/>
        <v>0</v>
      </c>
      <c r="DU7" s="27">
        <f t="shared" si="30"/>
        <v>0</v>
      </c>
      <c r="DV7" s="8"/>
      <c r="DW7" s="26">
        <f>'Production data'!AF4</f>
        <v>0</v>
      </c>
      <c r="DX7" s="27">
        <f t="shared" si="64"/>
        <v>0</v>
      </c>
      <c r="DY7" s="27">
        <f t="shared" si="31"/>
        <v>0</v>
      </c>
      <c r="DZ7" s="28">
        <f t="shared" si="65"/>
        <v>493</v>
      </c>
      <c r="EA7" s="28">
        <f t="shared" si="66"/>
        <v>0</v>
      </c>
      <c r="EB7" s="33">
        <f t="shared" si="32"/>
        <v>0</v>
      </c>
      <c r="EC7" s="33">
        <f t="shared" si="33"/>
        <v>0</v>
      </c>
    </row>
    <row r="8" spans="1:274" s="32" customFormat="1" ht="25.5" x14ac:dyDescent="0.35">
      <c r="A8" s="24"/>
      <c r="B8" s="24"/>
      <c r="C8" s="24">
        <v>42</v>
      </c>
      <c r="D8" s="25" t="s">
        <v>307</v>
      </c>
      <c r="E8" s="34"/>
      <c r="F8" s="66">
        <v>0</v>
      </c>
      <c r="G8" s="26">
        <f>G7+G6</f>
        <v>0</v>
      </c>
      <c r="H8" s="27">
        <f t="shared" si="34"/>
        <v>0</v>
      </c>
      <c r="I8" s="27">
        <f t="shared" si="35"/>
        <v>0</v>
      </c>
      <c r="J8" s="66">
        <v>11</v>
      </c>
      <c r="K8" s="26">
        <f>K7+K6</f>
        <v>331</v>
      </c>
      <c r="L8" s="27">
        <f t="shared" si="36"/>
        <v>3.3232628398791542E-2</v>
      </c>
      <c r="M8" s="27">
        <f t="shared" si="1"/>
        <v>0.30042296072507552</v>
      </c>
      <c r="N8" s="66">
        <v>12</v>
      </c>
      <c r="O8" s="26">
        <f>O7+O6</f>
        <v>1041</v>
      </c>
      <c r="P8" s="27">
        <f t="shared" si="37"/>
        <v>1.1527377521613832E-2</v>
      </c>
      <c r="Q8" s="27">
        <f t="shared" si="2"/>
        <v>0.10420749279538903</v>
      </c>
      <c r="R8" s="66">
        <v>14</v>
      </c>
      <c r="S8" s="26">
        <f>S7+S6</f>
        <v>955</v>
      </c>
      <c r="T8" s="27">
        <f t="shared" si="38"/>
        <v>1.4659685863874346E-2</v>
      </c>
      <c r="U8" s="27">
        <f t="shared" si="3"/>
        <v>0.13252356020942407</v>
      </c>
      <c r="V8" s="66">
        <v>11</v>
      </c>
      <c r="W8" s="26">
        <f>W7+W6</f>
        <v>396</v>
      </c>
      <c r="X8" s="27">
        <f t="shared" si="39"/>
        <v>2.7777777777777776E-2</v>
      </c>
      <c r="Y8" s="27">
        <f t="shared" si="4"/>
        <v>0.25111111111111106</v>
      </c>
      <c r="Z8" s="66">
        <v>1</v>
      </c>
      <c r="AA8" s="26">
        <f>AA7+AA6</f>
        <v>0</v>
      </c>
      <c r="AB8" s="27">
        <f t="shared" si="40"/>
        <v>0</v>
      </c>
      <c r="AC8" s="27">
        <f t="shared" si="5"/>
        <v>0</v>
      </c>
      <c r="AD8" s="66">
        <v>12</v>
      </c>
      <c r="AE8" s="26">
        <f>AE7+AE6</f>
        <v>771</v>
      </c>
      <c r="AF8" s="27">
        <f t="shared" si="6"/>
        <v>1.556420233463035E-2</v>
      </c>
      <c r="AG8" s="27">
        <f t="shared" si="7"/>
        <v>0.14070038910505836</v>
      </c>
      <c r="AH8" s="66">
        <v>16</v>
      </c>
      <c r="AI8" s="26">
        <f>AI7+AI6</f>
        <v>537</v>
      </c>
      <c r="AJ8" s="27">
        <f t="shared" si="41"/>
        <v>2.9795158286778398E-2</v>
      </c>
      <c r="AK8" s="27">
        <f t="shared" si="8"/>
        <v>0.26934823091247667</v>
      </c>
      <c r="AL8" s="66">
        <v>19</v>
      </c>
      <c r="AM8" s="26">
        <f>AM7+AM6</f>
        <v>1075</v>
      </c>
      <c r="AN8" s="27">
        <f t="shared" si="42"/>
        <v>1.7674418604651163E-2</v>
      </c>
      <c r="AO8" s="27">
        <f t="shared" si="9"/>
        <v>0.15977674418604651</v>
      </c>
      <c r="AP8" s="66">
        <v>16</v>
      </c>
      <c r="AQ8" s="26">
        <f>AQ7+AQ6</f>
        <v>466</v>
      </c>
      <c r="AR8" s="27">
        <f t="shared" si="43"/>
        <v>3.4334763948497854E-2</v>
      </c>
      <c r="AS8" s="27">
        <f t="shared" si="10"/>
        <v>0.31038626609442055</v>
      </c>
      <c r="AT8" s="66">
        <v>18</v>
      </c>
      <c r="AU8" s="26">
        <f>AU7+AU6</f>
        <v>881</v>
      </c>
      <c r="AV8" s="27">
        <f t="shared" si="44"/>
        <v>2.043132803632236E-2</v>
      </c>
      <c r="AW8" s="27">
        <f t="shared" si="11"/>
        <v>0.18469920544835411</v>
      </c>
      <c r="AX8" s="66">
        <v>18</v>
      </c>
      <c r="AY8" s="26">
        <f>AY7+AY6</f>
        <v>766</v>
      </c>
      <c r="AZ8" s="27">
        <f t="shared" si="45"/>
        <v>2.3498694516971279E-2</v>
      </c>
      <c r="BA8" s="27">
        <f t="shared" si="12"/>
        <v>0.21242819843342034</v>
      </c>
      <c r="BB8" s="66">
        <v>18</v>
      </c>
      <c r="BC8" s="26">
        <f>BC7+BC6</f>
        <v>726</v>
      </c>
      <c r="BD8" s="27">
        <f t="shared" si="46"/>
        <v>2.4793388429752067E-2</v>
      </c>
      <c r="BE8" s="27">
        <f t="shared" si="13"/>
        <v>0.22413223140495867</v>
      </c>
      <c r="BF8" s="66">
        <v>8</v>
      </c>
      <c r="BG8" s="26">
        <f>BG7+BG6</f>
        <v>300</v>
      </c>
      <c r="BH8" s="27">
        <f t="shared" si="47"/>
        <v>2.6666666666666668E-2</v>
      </c>
      <c r="BI8" s="27">
        <f t="shared" si="14"/>
        <v>0.24106666666666665</v>
      </c>
      <c r="BJ8" s="66">
        <v>18</v>
      </c>
      <c r="BK8" s="26">
        <f>BK7+BK6</f>
        <v>876</v>
      </c>
      <c r="BL8" s="27">
        <f t="shared" si="48"/>
        <v>2.0547945205479451E-2</v>
      </c>
      <c r="BM8" s="27">
        <f t="shared" si="15"/>
        <v>0.18575342465753422</v>
      </c>
      <c r="BN8" s="66">
        <v>18</v>
      </c>
      <c r="BO8" s="26">
        <f>BO7+BO6</f>
        <v>978</v>
      </c>
      <c r="BP8" s="27">
        <f t="shared" si="49"/>
        <v>1.8404907975460124E-2</v>
      </c>
      <c r="BQ8" s="27">
        <f t="shared" si="16"/>
        <v>0.16638036809815951</v>
      </c>
      <c r="BR8" s="66">
        <v>20</v>
      </c>
      <c r="BS8" s="26">
        <f>BS7+BS6</f>
        <v>1037</v>
      </c>
      <c r="BT8" s="27">
        <f t="shared" si="50"/>
        <v>1.9286403085824494E-2</v>
      </c>
      <c r="BU8" s="27">
        <f t="shared" si="17"/>
        <v>0.17434908389585341</v>
      </c>
      <c r="BV8" s="66">
        <v>18</v>
      </c>
      <c r="BW8" s="26">
        <f>BW7+BW6</f>
        <v>816</v>
      </c>
      <c r="BX8" s="27">
        <f t="shared" si="51"/>
        <v>2.2058823529411766E-2</v>
      </c>
      <c r="BY8" s="27">
        <f t="shared" si="18"/>
        <v>0.19941176470588234</v>
      </c>
      <c r="BZ8" s="66">
        <v>8</v>
      </c>
      <c r="CA8" s="26">
        <f>CA7+CA6</f>
        <v>0</v>
      </c>
      <c r="CB8" s="27">
        <f t="shared" si="52"/>
        <v>0</v>
      </c>
      <c r="CC8" s="27">
        <f t="shared" si="19"/>
        <v>0</v>
      </c>
      <c r="CD8" s="66">
        <v>16</v>
      </c>
      <c r="CE8" s="26">
        <f>CE7+CE6</f>
        <v>881</v>
      </c>
      <c r="CF8" s="27">
        <f t="shared" si="53"/>
        <v>1.8161180476730987E-2</v>
      </c>
      <c r="CG8" s="27">
        <f t="shared" si="20"/>
        <v>0.16417707150964811</v>
      </c>
      <c r="CH8" s="66">
        <v>8</v>
      </c>
      <c r="CI8" s="26">
        <f>CI7+CI6</f>
        <v>369</v>
      </c>
      <c r="CJ8" s="27">
        <f t="shared" si="54"/>
        <v>2.1680216802168022E-2</v>
      </c>
      <c r="CK8" s="27">
        <f t="shared" si="21"/>
        <v>0.1959891598915989</v>
      </c>
      <c r="CL8" s="57">
        <v>8</v>
      </c>
      <c r="CM8" s="26">
        <f>CM7+CM6</f>
        <v>495</v>
      </c>
      <c r="CN8" s="27">
        <f t="shared" si="55"/>
        <v>1.6161616161616162E-2</v>
      </c>
      <c r="CO8" s="27">
        <f t="shared" si="22"/>
        <v>0.14610101010101009</v>
      </c>
      <c r="CP8" s="8">
        <v>9</v>
      </c>
      <c r="CQ8" s="26">
        <f>CQ7+CQ6</f>
        <v>704</v>
      </c>
      <c r="CR8" s="27">
        <f t="shared" si="56"/>
        <v>1.278409090909091E-2</v>
      </c>
      <c r="CS8" s="27">
        <f t="shared" si="23"/>
        <v>0.11556818181818182</v>
      </c>
      <c r="CT8" s="8">
        <v>14</v>
      </c>
      <c r="CU8" s="26">
        <f>CU7+CU6</f>
        <v>955</v>
      </c>
      <c r="CV8" s="27">
        <f t="shared" si="57"/>
        <v>1.4659685863874346E-2</v>
      </c>
      <c r="CW8" s="27">
        <f t="shared" si="24"/>
        <v>0.13252356020942407</v>
      </c>
      <c r="CX8" s="8">
        <v>11</v>
      </c>
      <c r="CY8" s="26">
        <f>CY7+CY6</f>
        <v>248</v>
      </c>
      <c r="CZ8" s="27">
        <f t="shared" si="58"/>
        <v>4.4354838709677422E-2</v>
      </c>
      <c r="DA8" s="27">
        <f t="shared" si="25"/>
        <v>0.40096774193548385</v>
      </c>
      <c r="DB8" s="63">
        <v>11</v>
      </c>
      <c r="DC8" s="26">
        <f>DC7+DC6</f>
        <v>510</v>
      </c>
      <c r="DD8" s="27">
        <f t="shared" si="59"/>
        <v>2.1568627450980392E-2</v>
      </c>
      <c r="DE8" s="27">
        <f t="shared" si="26"/>
        <v>0.19498039215686272</v>
      </c>
      <c r="DF8" s="8">
        <v>14</v>
      </c>
      <c r="DG8" s="26">
        <f>DG7+DG6</f>
        <v>706</v>
      </c>
      <c r="DH8" s="27">
        <f t="shared" si="60"/>
        <v>1.9830028328611898E-2</v>
      </c>
      <c r="DI8" s="27">
        <f t="shared" si="27"/>
        <v>0.17926345609065153</v>
      </c>
      <c r="DJ8" s="8">
        <v>10</v>
      </c>
      <c r="DK8" s="26">
        <f>DK7+DK6</f>
        <v>652</v>
      </c>
      <c r="DL8" s="27">
        <f t="shared" si="61"/>
        <v>1.5337423312883436E-2</v>
      </c>
      <c r="DM8" s="27">
        <f t="shared" si="28"/>
        <v>0.13865030674846623</v>
      </c>
      <c r="DN8" s="8">
        <v>16</v>
      </c>
      <c r="DO8" s="26">
        <f>DO7+DO6</f>
        <v>932</v>
      </c>
      <c r="DP8" s="27">
        <f t="shared" si="62"/>
        <v>1.7167381974248927E-2</v>
      </c>
      <c r="DQ8" s="27">
        <f t="shared" si="29"/>
        <v>0.15519313304721027</v>
      </c>
      <c r="DR8" s="8">
        <v>8</v>
      </c>
      <c r="DS8" s="26">
        <f>DS7+DS6</f>
        <v>154</v>
      </c>
      <c r="DT8" s="27">
        <f t="shared" si="63"/>
        <v>5.1948051948051951E-2</v>
      </c>
      <c r="DU8" s="27">
        <f t="shared" si="30"/>
        <v>0.46961038961038959</v>
      </c>
      <c r="DV8" s="8"/>
      <c r="DW8" s="26">
        <f>DW7+DW6</f>
        <v>0</v>
      </c>
      <c r="DX8" s="27">
        <f t="shared" si="64"/>
        <v>0</v>
      </c>
      <c r="DY8" s="27">
        <f t="shared" si="31"/>
        <v>0</v>
      </c>
      <c r="DZ8" s="28">
        <f t="shared" si="65"/>
        <v>381</v>
      </c>
      <c r="EA8" s="28">
        <f t="shared" si="66"/>
        <v>17787</v>
      </c>
      <c r="EB8" s="33">
        <f t="shared" si="32"/>
        <v>2.1420138303255187E-2</v>
      </c>
      <c r="EC8" s="33">
        <f t="shared" si="33"/>
        <v>0.19363805026142686</v>
      </c>
    </row>
    <row r="9" spans="1:274" s="32" customFormat="1" ht="25.5" x14ac:dyDescent="0.35">
      <c r="A9" s="24"/>
      <c r="B9" s="24"/>
      <c r="C9" s="24"/>
      <c r="D9" s="35" t="s">
        <v>335</v>
      </c>
      <c r="E9" s="36"/>
      <c r="F9" s="37">
        <f>SUM(F6:F8)</f>
        <v>1</v>
      </c>
      <c r="G9" s="37">
        <f>SUM(G6:G8)</f>
        <v>0</v>
      </c>
      <c r="H9" s="38">
        <f>SUM(H6:H8)</f>
        <v>0</v>
      </c>
      <c r="I9" s="38">
        <f>SUM(I6:I8)</f>
        <v>0</v>
      </c>
      <c r="J9" s="37">
        <f>SUM(J6:J8)</f>
        <v>45</v>
      </c>
      <c r="K9" s="37">
        <f t="shared" ref="K9:BU9" si="67">SUM(K6:K8)</f>
        <v>662</v>
      </c>
      <c r="L9" s="39">
        <f t="shared" si="67"/>
        <v>0.13595166163141995</v>
      </c>
      <c r="M9" s="39">
        <f t="shared" si="67"/>
        <v>1.2290030211480363</v>
      </c>
      <c r="N9" s="37">
        <f>SUM(N6:N8)</f>
        <v>70</v>
      </c>
      <c r="O9" s="37">
        <f t="shared" si="67"/>
        <v>2082</v>
      </c>
      <c r="P9" s="39">
        <f t="shared" si="67"/>
        <v>4.6109510086455335E-2</v>
      </c>
      <c r="Q9" s="39">
        <f t="shared" si="67"/>
        <v>0.41682997118155618</v>
      </c>
      <c r="R9" s="37">
        <f>SUM(R6:R8)</f>
        <v>76</v>
      </c>
      <c r="S9" s="37">
        <f t="shared" si="67"/>
        <v>1910</v>
      </c>
      <c r="T9" s="39">
        <f t="shared" si="67"/>
        <v>5.654450261780105E-2</v>
      </c>
      <c r="U9" s="39">
        <f t="shared" si="67"/>
        <v>0.51116230366492144</v>
      </c>
      <c r="V9" s="37">
        <f>SUM(V6:V8)</f>
        <v>57</v>
      </c>
      <c r="W9" s="37">
        <f t="shared" si="67"/>
        <v>792</v>
      </c>
      <c r="X9" s="39">
        <f t="shared" si="67"/>
        <v>0.10101010101010101</v>
      </c>
      <c r="Y9" s="39">
        <f t="shared" si="67"/>
        <v>0.91313131313131302</v>
      </c>
      <c r="Z9" s="37">
        <f>SUM(Z6:Z8)</f>
        <v>3</v>
      </c>
      <c r="AA9" s="37">
        <f t="shared" si="67"/>
        <v>0</v>
      </c>
      <c r="AB9" s="39">
        <f t="shared" si="67"/>
        <v>0</v>
      </c>
      <c r="AC9" s="39">
        <f t="shared" si="67"/>
        <v>0</v>
      </c>
      <c r="AD9" s="37">
        <f>SUM(AD6:AD8)</f>
        <v>70</v>
      </c>
      <c r="AE9" s="37">
        <f t="shared" si="67"/>
        <v>1542</v>
      </c>
      <c r="AF9" s="39">
        <f t="shared" si="67"/>
        <v>6.4850843060959784E-2</v>
      </c>
      <c r="AG9" s="39">
        <f t="shared" si="67"/>
        <v>0.58625162127107644</v>
      </c>
      <c r="AH9" s="37">
        <f>SUM(AH6:AH8)</f>
        <v>57</v>
      </c>
      <c r="AI9" s="37">
        <f t="shared" si="67"/>
        <v>1074</v>
      </c>
      <c r="AJ9" s="39">
        <f t="shared" si="67"/>
        <v>6.8901303538175043E-2</v>
      </c>
      <c r="AK9" s="39">
        <f t="shared" si="67"/>
        <v>0.62286778398510234</v>
      </c>
      <c r="AL9" s="37">
        <f>SUM(AL6:AL8)</f>
        <v>94</v>
      </c>
      <c r="AM9" s="37">
        <f t="shared" si="67"/>
        <v>2150</v>
      </c>
      <c r="AN9" s="39">
        <f t="shared" si="67"/>
        <v>6.6046511627906979E-2</v>
      </c>
      <c r="AO9" s="39">
        <f t="shared" si="67"/>
        <v>0.59706046511627897</v>
      </c>
      <c r="AP9" s="37">
        <f>SUM(AP6:AP8)</f>
        <v>75</v>
      </c>
      <c r="AQ9" s="37">
        <f t="shared" ref="AQ9" si="68">SUM(AQ6:AQ8)</f>
        <v>932</v>
      </c>
      <c r="AR9" s="39">
        <f t="shared" si="67"/>
        <v>0.12231759656652361</v>
      </c>
      <c r="AS9" s="39">
        <f t="shared" si="67"/>
        <v>1.1057510729613733</v>
      </c>
      <c r="AT9" s="37">
        <f>SUM(AT6:AT8)</f>
        <v>85</v>
      </c>
      <c r="AU9" s="37">
        <f t="shared" ref="AU9" si="69">SUM(AU6:AU8)</f>
        <v>1762</v>
      </c>
      <c r="AV9" s="39">
        <f t="shared" si="67"/>
        <v>7.2644721906923948E-2</v>
      </c>
      <c r="AW9" s="39">
        <f t="shared" si="67"/>
        <v>0.65670828603859244</v>
      </c>
      <c r="AX9" s="37">
        <f>SUM(AX6:AX8)</f>
        <v>82</v>
      </c>
      <c r="AY9" s="37">
        <f t="shared" si="67"/>
        <v>1532</v>
      </c>
      <c r="AZ9" s="39">
        <f t="shared" si="67"/>
        <v>8.0939947780678853E-2</v>
      </c>
      <c r="BA9" s="39">
        <f t="shared" si="67"/>
        <v>0.73169712793733677</v>
      </c>
      <c r="BB9" s="37">
        <f>SUM(BB6:BB8)</f>
        <v>71</v>
      </c>
      <c r="BC9" s="37">
        <f t="shared" si="67"/>
        <v>1452</v>
      </c>
      <c r="BD9" s="39">
        <f t="shared" si="67"/>
        <v>8.1267217630853997E-2</v>
      </c>
      <c r="BE9" s="39">
        <f t="shared" si="67"/>
        <v>0.73465564738292</v>
      </c>
      <c r="BF9" s="37">
        <f>SUM(BF6:BF8)</f>
        <v>36</v>
      </c>
      <c r="BG9" s="37">
        <f t="shared" si="67"/>
        <v>600</v>
      </c>
      <c r="BH9" s="39">
        <f t="shared" si="67"/>
        <v>8.3333333333333329E-2</v>
      </c>
      <c r="BI9" s="39">
        <f t="shared" si="67"/>
        <v>0.7533333333333333</v>
      </c>
      <c r="BJ9" s="37">
        <f>SUM(BJ6:BJ8)</f>
        <v>81</v>
      </c>
      <c r="BK9" s="37">
        <f t="shared" si="67"/>
        <v>1752</v>
      </c>
      <c r="BL9" s="39">
        <f t="shared" si="67"/>
        <v>6.9634703196347028E-2</v>
      </c>
      <c r="BM9" s="39">
        <f t="shared" si="67"/>
        <v>0.62949771689497713</v>
      </c>
      <c r="BN9" s="37">
        <f>SUM(BN6:BN8)</f>
        <v>79</v>
      </c>
      <c r="BO9" s="37">
        <f t="shared" si="67"/>
        <v>1956</v>
      </c>
      <c r="BP9" s="39">
        <f t="shared" si="67"/>
        <v>6.0327198364008183E-2</v>
      </c>
      <c r="BQ9" s="39">
        <f t="shared" si="67"/>
        <v>0.54535787321063389</v>
      </c>
      <c r="BR9" s="37">
        <f>SUM(BR6:BR8)</f>
        <v>78</v>
      </c>
      <c r="BS9" s="37">
        <f t="shared" si="67"/>
        <v>2074</v>
      </c>
      <c r="BT9" s="39">
        <f t="shared" si="67"/>
        <v>5.5930568948891035E-2</v>
      </c>
      <c r="BU9" s="39">
        <f t="shared" si="67"/>
        <v>0.50561234329797489</v>
      </c>
      <c r="BV9" s="37">
        <f>SUM(BV6:BV8)</f>
        <v>74</v>
      </c>
      <c r="BW9" s="37">
        <f t="shared" ref="BW9:EC9" si="70">SUM(BW6:BW8)</f>
        <v>1632</v>
      </c>
      <c r="BX9" s="39">
        <f t="shared" si="70"/>
        <v>6.985294117647059E-2</v>
      </c>
      <c r="BY9" s="39">
        <f t="shared" si="70"/>
        <v>0.63147058823529401</v>
      </c>
      <c r="BZ9" s="37">
        <f>SUM(BZ6:BZ8)</f>
        <v>27</v>
      </c>
      <c r="CA9" s="37">
        <f t="shared" si="70"/>
        <v>0</v>
      </c>
      <c r="CB9" s="39">
        <f t="shared" si="70"/>
        <v>0</v>
      </c>
      <c r="CC9" s="39">
        <f t="shared" si="70"/>
        <v>0</v>
      </c>
      <c r="CD9" s="37">
        <f>SUM(CD6:CD8)</f>
        <v>69</v>
      </c>
      <c r="CE9" s="37">
        <f t="shared" si="70"/>
        <v>1762</v>
      </c>
      <c r="CF9" s="39">
        <f t="shared" si="70"/>
        <v>5.9023836549375708E-2</v>
      </c>
      <c r="CG9" s="39">
        <f t="shared" si="70"/>
        <v>0.53357548240635633</v>
      </c>
      <c r="CH9" s="37">
        <f>SUM(CH6:CH8)</f>
        <v>36</v>
      </c>
      <c r="CI9" s="37">
        <f t="shared" si="70"/>
        <v>738</v>
      </c>
      <c r="CJ9" s="39">
        <f t="shared" si="70"/>
        <v>7.3170731707317083E-2</v>
      </c>
      <c r="CK9" s="39">
        <f t="shared" si="70"/>
        <v>0.66146341463414626</v>
      </c>
      <c r="CL9" s="37">
        <f>SUM(CL6:CL8)</f>
        <v>50</v>
      </c>
      <c r="CM9" s="37">
        <f t="shared" si="70"/>
        <v>990</v>
      </c>
      <c r="CN9" s="39">
        <f t="shared" si="70"/>
        <v>7.4747474747474757E-2</v>
      </c>
      <c r="CO9" s="39">
        <f t="shared" si="70"/>
        <v>0.67571717171717161</v>
      </c>
      <c r="CP9" s="37">
        <f>SUM(CP6:CP8)</f>
        <v>42</v>
      </c>
      <c r="CQ9" s="37">
        <f t="shared" si="70"/>
        <v>1408</v>
      </c>
      <c r="CR9" s="39">
        <f t="shared" si="70"/>
        <v>3.9772727272727272E-2</v>
      </c>
      <c r="CS9" s="39">
        <f t="shared" si="70"/>
        <v>0.3595454545454545</v>
      </c>
      <c r="CT9" s="37">
        <f>SUM(CT6:CT8)</f>
        <v>79</v>
      </c>
      <c r="CU9" s="37">
        <f t="shared" si="70"/>
        <v>1910</v>
      </c>
      <c r="CV9" s="39">
        <f t="shared" si="70"/>
        <v>5.9685863874345553E-2</v>
      </c>
      <c r="CW9" s="39">
        <f t="shared" si="70"/>
        <v>0.53956020942408367</v>
      </c>
      <c r="CX9" s="37">
        <f>SUM(CX6:CX8)</f>
        <v>52</v>
      </c>
      <c r="CY9" s="37">
        <f t="shared" si="70"/>
        <v>496</v>
      </c>
      <c r="CZ9" s="39">
        <f t="shared" si="70"/>
        <v>0.14516129032258063</v>
      </c>
      <c r="DA9" s="39">
        <f t="shared" si="70"/>
        <v>1.3122580645161288</v>
      </c>
      <c r="DB9" s="37">
        <f>SUM(DB6:DB8)</f>
        <v>57</v>
      </c>
      <c r="DC9" s="37">
        <f t="shared" si="70"/>
        <v>1020</v>
      </c>
      <c r="DD9" s="39">
        <f t="shared" si="70"/>
        <v>8.4313725490196084E-2</v>
      </c>
      <c r="DE9" s="39">
        <f t="shared" si="70"/>
        <v>0.76219607843137238</v>
      </c>
      <c r="DF9" s="37">
        <f>SUM(DF6:DF8)</f>
        <v>120</v>
      </c>
      <c r="DG9" s="37">
        <f t="shared" si="70"/>
        <v>1412</v>
      </c>
      <c r="DH9" s="39">
        <f t="shared" si="70"/>
        <v>7.6487252124645896E-2</v>
      </c>
      <c r="DI9" s="39">
        <f t="shared" si="70"/>
        <v>0.69144475920679882</v>
      </c>
      <c r="DJ9" s="37">
        <f>SUM(DJ6:DJ8)</f>
        <v>54</v>
      </c>
      <c r="DK9" s="37">
        <f t="shared" si="70"/>
        <v>1304</v>
      </c>
      <c r="DL9" s="39">
        <f t="shared" si="70"/>
        <v>7.6687116564417179E-2</v>
      </c>
      <c r="DM9" s="39">
        <f t="shared" si="70"/>
        <v>0.69325153374233117</v>
      </c>
      <c r="DN9" s="37">
        <f>SUM(DN6:DN8)</f>
        <v>76</v>
      </c>
      <c r="DO9" s="37">
        <f t="shared" si="70"/>
        <v>1864</v>
      </c>
      <c r="DP9" s="39">
        <f t="shared" si="70"/>
        <v>6.1158798283261803E-2</v>
      </c>
      <c r="DQ9" s="39">
        <f t="shared" si="70"/>
        <v>0.55287553648068666</v>
      </c>
      <c r="DR9" s="37">
        <f>SUM(DR6:DR8)</f>
        <v>38</v>
      </c>
      <c r="DS9" s="37">
        <f t="shared" si="70"/>
        <v>308</v>
      </c>
      <c r="DT9" s="39">
        <f t="shared" si="70"/>
        <v>0.18831168831168832</v>
      </c>
      <c r="DU9" s="39">
        <f t="shared" si="70"/>
        <v>1.702337662337662</v>
      </c>
      <c r="DV9" s="37">
        <f>SUM(DV6:DV8)</f>
        <v>0</v>
      </c>
      <c r="DW9" s="37">
        <f t="shared" si="70"/>
        <v>0</v>
      </c>
      <c r="DX9" s="39">
        <f t="shared" si="70"/>
        <v>0</v>
      </c>
      <c r="DY9" s="39">
        <f t="shared" si="70"/>
        <v>0</v>
      </c>
      <c r="DZ9" s="37">
        <f t="shared" si="70"/>
        <v>1834</v>
      </c>
      <c r="EA9" s="37">
        <f t="shared" si="70"/>
        <v>35574</v>
      </c>
      <c r="EB9" s="39">
        <f>SUM(EB6:EB8)</f>
        <v>7.5392140327205259E-2</v>
      </c>
      <c r="EC9" s="39">
        <f t="shared" si="70"/>
        <v>0.68154494855793546</v>
      </c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30"/>
      <c r="EU9" s="30"/>
      <c r="EV9" s="30"/>
      <c r="EW9" s="30"/>
      <c r="EX9" s="30"/>
      <c r="EY9" s="30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  <c r="HI9" s="31"/>
      <c r="HJ9" s="31"/>
      <c r="HK9" s="31"/>
      <c r="HL9" s="31"/>
      <c r="HM9" s="31"/>
      <c r="HN9" s="31"/>
      <c r="HO9" s="31"/>
      <c r="HP9" s="31"/>
      <c r="HQ9" s="31"/>
      <c r="HR9" s="31"/>
      <c r="HS9" s="31"/>
      <c r="HT9" s="31"/>
      <c r="HU9" s="31"/>
      <c r="HV9" s="31"/>
      <c r="HW9" s="31"/>
      <c r="HX9" s="31"/>
      <c r="HY9" s="31"/>
      <c r="HZ9" s="31"/>
      <c r="IA9" s="31"/>
      <c r="IB9" s="31"/>
      <c r="IC9" s="31"/>
      <c r="ID9" s="31"/>
      <c r="IE9" s="31"/>
      <c r="IF9" s="31"/>
      <c r="IG9" s="31"/>
      <c r="IH9" s="31"/>
      <c r="II9" s="31"/>
      <c r="IJ9" s="31"/>
      <c r="IK9" s="31"/>
      <c r="IL9" s="31"/>
      <c r="IM9" s="31"/>
      <c r="IN9" s="31"/>
      <c r="IO9" s="31"/>
      <c r="IP9" s="31"/>
      <c r="IQ9" s="31"/>
      <c r="IR9" s="31"/>
      <c r="IS9" s="31"/>
      <c r="IT9" s="31"/>
      <c r="IU9" s="31"/>
      <c r="IV9" s="31"/>
      <c r="IW9" s="31"/>
      <c r="IX9" s="31"/>
      <c r="IY9" s="31"/>
      <c r="IZ9" s="31"/>
      <c r="JA9" s="31"/>
      <c r="JB9" s="31"/>
      <c r="JC9" s="31"/>
      <c r="JD9" s="31"/>
      <c r="JE9" s="31"/>
      <c r="JF9" s="31"/>
      <c r="JG9" s="31"/>
      <c r="JH9" s="31"/>
      <c r="JI9" s="31"/>
      <c r="JJ9" s="31"/>
      <c r="JK9" s="31"/>
      <c r="JL9" s="31"/>
      <c r="JM9" s="31"/>
    </row>
    <row r="10" spans="1:274" s="43" customFormat="1" ht="16.5" customHeight="1" x14ac:dyDescent="0.35">
      <c r="A10" s="24"/>
      <c r="B10" s="24"/>
      <c r="C10" s="24"/>
      <c r="D10" s="40"/>
      <c r="E10" s="40"/>
      <c r="F10" s="40"/>
      <c r="G10" s="40"/>
      <c r="H10" s="41"/>
      <c r="I10" s="41"/>
      <c r="J10" s="40"/>
      <c r="K10" s="40"/>
      <c r="L10" s="41"/>
      <c r="M10" s="41"/>
      <c r="N10" s="40"/>
      <c r="O10" s="40"/>
      <c r="P10" s="41"/>
      <c r="Q10" s="41"/>
      <c r="R10" s="40"/>
      <c r="S10" s="40"/>
      <c r="T10" s="41"/>
      <c r="U10" s="41"/>
      <c r="V10" s="40"/>
      <c r="W10" s="40"/>
      <c r="X10" s="41"/>
      <c r="Y10" s="41"/>
      <c r="Z10" s="40"/>
      <c r="AA10" s="40"/>
      <c r="AB10" s="41"/>
      <c r="AC10" s="41"/>
      <c r="AD10" s="40"/>
      <c r="AE10" s="40"/>
      <c r="AF10" s="41"/>
      <c r="AG10" s="41"/>
      <c r="AH10" s="40"/>
      <c r="AI10" s="40"/>
      <c r="AJ10" s="41"/>
      <c r="AK10" s="41"/>
      <c r="AL10" s="40"/>
      <c r="AM10" s="40"/>
      <c r="AN10" s="41"/>
      <c r="AO10" s="41"/>
      <c r="AP10" s="40"/>
      <c r="AQ10" s="40"/>
      <c r="AR10" s="41"/>
      <c r="AS10" s="41"/>
      <c r="AT10" s="40"/>
      <c r="AU10" s="40"/>
      <c r="AV10" s="41"/>
      <c r="AW10" s="41"/>
      <c r="AX10" s="40"/>
      <c r="AY10" s="40"/>
      <c r="AZ10" s="41"/>
      <c r="BA10" s="41"/>
      <c r="BB10" s="40"/>
      <c r="BC10" s="40"/>
      <c r="BD10" s="41"/>
      <c r="BE10" s="41"/>
      <c r="BF10" s="40"/>
      <c r="BG10" s="40"/>
      <c r="BH10" s="41"/>
      <c r="BI10" s="41"/>
      <c r="BJ10" s="40"/>
      <c r="BK10" s="40"/>
      <c r="BL10" s="41"/>
      <c r="BM10" s="41"/>
      <c r="BN10" s="40"/>
      <c r="BO10" s="40"/>
      <c r="BP10" s="41"/>
      <c r="BQ10" s="41"/>
      <c r="BR10" s="40"/>
      <c r="BS10" s="40"/>
      <c r="BT10" s="41"/>
      <c r="BU10" s="41"/>
      <c r="BV10" s="40"/>
      <c r="BW10" s="40"/>
      <c r="BX10" s="41"/>
      <c r="BY10" s="41"/>
      <c r="BZ10" s="40"/>
      <c r="CA10" s="40"/>
      <c r="CB10" s="41"/>
      <c r="CC10" s="41"/>
      <c r="CD10" s="40"/>
      <c r="CE10" s="40"/>
      <c r="CF10" s="41"/>
      <c r="CG10" s="41"/>
      <c r="CH10" s="40"/>
      <c r="CI10" s="40"/>
      <c r="CJ10" s="41"/>
      <c r="CK10" s="41"/>
      <c r="CL10" s="40"/>
      <c r="CM10" s="40"/>
      <c r="CN10" s="41"/>
      <c r="CO10" s="41"/>
      <c r="CP10" s="40"/>
      <c r="CQ10" s="40"/>
      <c r="CR10" s="41"/>
      <c r="CS10" s="41"/>
      <c r="CT10" s="40"/>
      <c r="CU10" s="40"/>
      <c r="CV10" s="41"/>
      <c r="CW10" s="41"/>
      <c r="CX10" s="40"/>
      <c r="CY10" s="40"/>
      <c r="CZ10" s="41"/>
      <c r="DA10" s="41"/>
      <c r="DB10" s="40"/>
      <c r="DC10" s="40"/>
      <c r="DD10" s="41"/>
      <c r="DE10" s="41"/>
      <c r="DF10" s="40"/>
      <c r="DG10" s="40"/>
      <c r="DH10" s="41"/>
      <c r="DI10" s="41"/>
      <c r="DJ10" s="40"/>
      <c r="DK10" s="40"/>
      <c r="DL10" s="41"/>
      <c r="DM10" s="41"/>
      <c r="DN10" s="40"/>
      <c r="DO10" s="40"/>
      <c r="DP10" s="41"/>
      <c r="DQ10" s="41"/>
      <c r="DR10" s="40"/>
      <c r="DS10" s="40"/>
      <c r="DT10" s="41"/>
      <c r="DU10" s="41"/>
      <c r="DV10" s="40"/>
      <c r="DW10" s="40"/>
      <c r="DX10" s="41"/>
      <c r="DY10" s="41"/>
      <c r="DZ10" s="40"/>
      <c r="EA10" s="40"/>
      <c r="EB10" s="41"/>
      <c r="EC10" s="41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  <c r="EY10" s="42"/>
      <c r="EZ10" s="42"/>
      <c r="FA10" s="42"/>
      <c r="FB10" s="42"/>
      <c r="FC10" s="42"/>
      <c r="FD10" s="42"/>
      <c r="FE10" s="42"/>
      <c r="FF10" s="42"/>
      <c r="FG10" s="42"/>
      <c r="FH10" s="42"/>
      <c r="FI10" s="42"/>
      <c r="FJ10" s="42"/>
      <c r="FK10" s="42"/>
      <c r="FL10" s="42"/>
      <c r="FM10" s="42"/>
      <c r="FN10" s="42"/>
      <c r="FO10" s="42"/>
      <c r="FP10" s="42"/>
      <c r="FQ10" s="42"/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42"/>
      <c r="IS10" s="42"/>
      <c r="IT10" s="42"/>
      <c r="IU10" s="42"/>
      <c r="IV10" s="42"/>
      <c r="IW10" s="42"/>
      <c r="IX10" s="42"/>
      <c r="IY10" s="42"/>
      <c r="IZ10" s="42"/>
      <c r="JA10" s="42"/>
      <c r="JB10" s="42"/>
      <c r="JC10" s="42"/>
      <c r="JD10" s="42"/>
      <c r="JE10" s="42"/>
      <c r="JF10" s="42"/>
      <c r="JG10" s="42"/>
      <c r="JH10" s="42"/>
      <c r="JI10" s="42"/>
      <c r="JJ10" s="42"/>
      <c r="JK10" s="42"/>
      <c r="JL10" s="42"/>
      <c r="JM10" s="42"/>
    </row>
    <row r="11" spans="1:274" s="32" customFormat="1" ht="25.5" x14ac:dyDescent="0.35">
      <c r="A11" s="24"/>
      <c r="B11" s="24"/>
      <c r="C11" s="24">
        <v>21</v>
      </c>
      <c r="D11" s="25" t="s">
        <v>286</v>
      </c>
      <c r="E11" s="72" t="s">
        <v>278</v>
      </c>
      <c r="F11" s="67">
        <v>1</v>
      </c>
      <c r="G11" s="26">
        <f>'Production data'!B5</f>
        <v>0</v>
      </c>
      <c r="H11" s="27">
        <f t="shared" si="34"/>
        <v>0</v>
      </c>
      <c r="I11" s="27">
        <f t="shared" si="35"/>
        <v>0</v>
      </c>
      <c r="J11" s="67">
        <v>63</v>
      </c>
      <c r="K11" s="26">
        <f>'Production data'!C5</f>
        <v>623</v>
      </c>
      <c r="L11" s="27">
        <f t="shared" si="36"/>
        <v>0.10112359550561797</v>
      </c>
      <c r="M11" s="27">
        <f t="shared" si="1"/>
        <v>0.91415730337078638</v>
      </c>
      <c r="N11" s="67">
        <v>35</v>
      </c>
      <c r="O11" s="26">
        <f>'Production data'!D5</f>
        <v>370</v>
      </c>
      <c r="P11" s="27">
        <f t="shared" si="37"/>
        <v>9.45945945945946E-2</v>
      </c>
      <c r="Q11" s="27">
        <f t="shared" si="2"/>
        <v>0.85513513513513506</v>
      </c>
      <c r="R11" s="67">
        <v>61</v>
      </c>
      <c r="S11" s="26">
        <f>'Production data'!E5</f>
        <v>580</v>
      </c>
      <c r="T11" s="27">
        <f t="shared" si="38"/>
        <v>0.10517241379310345</v>
      </c>
      <c r="U11" s="27">
        <f t="shared" si="3"/>
        <v>0.95075862068965511</v>
      </c>
      <c r="V11" s="67">
        <v>35</v>
      </c>
      <c r="W11" s="26">
        <f>'Production data'!F5</f>
        <v>300</v>
      </c>
      <c r="X11" s="27">
        <f t="shared" si="39"/>
        <v>0.11666666666666667</v>
      </c>
      <c r="Y11" s="27">
        <f t="shared" si="4"/>
        <v>1.0546666666666666</v>
      </c>
      <c r="Z11" s="67">
        <v>2</v>
      </c>
      <c r="AA11" s="26">
        <f>'Production data'!G5</f>
        <v>0</v>
      </c>
      <c r="AB11" s="27">
        <f t="shared" si="40"/>
        <v>0</v>
      </c>
      <c r="AC11" s="27">
        <f t="shared" si="5"/>
        <v>0</v>
      </c>
      <c r="AD11" s="67">
        <v>47</v>
      </c>
      <c r="AE11" s="26">
        <f>'Production data'!H5</f>
        <v>448</v>
      </c>
      <c r="AF11" s="27">
        <f t="shared" ref="AF11:AF18" si="71">IF((AE11=0),0,AD11/AE11)</f>
        <v>0.10491071428571429</v>
      </c>
      <c r="AG11" s="27">
        <f t="shared" ref="AG11:AG18" si="72">AF11*9.04</f>
        <v>0.94839285714285704</v>
      </c>
      <c r="AH11" s="67">
        <v>40</v>
      </c>
      <c r="AI11" s="26">
        <f>'Production data'!I5</f>
        <v>400</v>
      </c>
      <c r="AJ11" s="27">
        <f t="shared" si="41"/>
        <v>0.1</v>
      </c>
      <c r="AK11" s="27">
        <f t="shared" si="8"/>
        <v>0.90399999999999991</v>
      </c>
      <c r="AL11" s="67">
        <v>45</v>
      </c>
      <c r="AM11" s="26">
        <f>'Production data'!J5</f>
        <v>347</v>
      </c>
      <c r="AN11" s="27">
        <f t="shared" si="42"/>
        <v>0.12968299711815562</v>
      </c>
      <c r="AO11" s="27">
        <f t="shared" si="9"/>
        <v>1.1723342939481267</v>
      </c>
      <c r="AP11" s="66">
        <v>61</v>
      </c>
      <c r="AQ11" s="26">
        <f>'Production data'!K5</f>
        <v>473</v>
      </c>
      <c r="AR11" s="27">
        <f t="shared" si="43"/>
        <v>0.12896405919661733</v>
      </c>
      <c r="AS11" s="27">
        <f t="shared" si="10"/>
        <v>1.1658350951374206</v>
      </c>
      <c r="AT11" s="67">
        <v>56</v>
      </c>
      <c r="AU11" s="26">
        <f>'Production data'!L5</f>
        <v>432</v>
      </c>
      <c r="AV11" s="27">
        <f t="shared" si="44"/>
        <v>0.12962962962962962</v>
      </c>
      <c r="AW11" s="27">
        <f t="shared" si="11"/>
        <v>1.1718518518518517</v>
      </c>
      <c r="AX11" s="66">
        <v>61</v>
      </c>
      <c r="AY11" s="26">
        <f>'Production data'!M5</f>
        <v>550</v>
      </c>
      <c r="AZ11" s="27">
        <f t="shared" si="45"/>
        <v>0.11090909090909092</v>
      </c>
      <c r="BA11" s="27">
        <f t="shared" si="12"/>
        <v>1.0026181818181819</v>
      </c>
      <c r="BB11" s="67">
        <v>69</v>
      </c>
      <c r="BC11" s="26">
        <f>'Production data'!N5</f>
        <v>670</v>
      </c>
      <c r="BD11" s="27">
        <f t="shared" si="46"/>
        <v>0.10298507462686567</v>
      </c>
      <c r="BE11" s="27">
        <f t="shared" si="13"/>
        <v>0.93098507462686553</v>
      </c>
      <c r="BF11" s="67">
        <v>31</v>
      </c>
      <c r="BG11" s="26">
        <f>'Production data'!O5</f>
        <v>260</v>
      </c>
      <c r="BH11" s="27">
        <f t="shared" si="47"/>
        <v>0.11923076923076924</v>
      </c>
      <c r="BI11" s="27">
        <f t="shared" si="14"/>
        <v>1.0778461538461539</v>
      </c>
      <c r="BJ11" s="67">
        <v>71</v>
      </c>
      <c r="BK11" s="26">
        <f>'Production data'!P5</f>
        <v>711</v>
      </c>
      <c r="BL11" s="27">
        <f t="shared" si="48"/>
        <v>9.9859353023909983E-2</v>
      </c>
      <c r="BM11" s="27">
        <f t="shared" si="15"/>
        <v>0.90272855133614616</v>
      </c>
      <c r="BN11" s="67">
        <v>70</v>
      </c>
      <c r="BO11" s="26">
        <f>'Production data'!Q5</f>
        <v>749</v>
      </c>
      <c r="BP11" s="27">
        <f t="shared" si="49"/>
        <v>9.3457943925233641E-2</v>
      </c>
      <c r="BQ11" s="27">
        <f t="shared" si="16"/>
        <v>0.84485981308411207</v>
      </c>
      <c r="BR11" s="67">
        <v>27</v>
      </c>
      <c r="BS11" s="26">
        <f>'Production data'!R5</f>
        <v>192</v>
      </c>
      <c r="BT11" s="27">
        <f t="shared" si="50"/>
        <v>0.140625</v>
      </c>
      <c r="BU11" s="27">
        <f t="shared" si="17"/>
        <v>1.2712499999999998</v>
      </c>
      <c r="BV11" s="67">
        <v>58</v>
      </c>
      <c r="BW11" s="26">
        <f>'Production data'!S5</f>
        <v>560</v>
      </c>
      <c r="BX11" s="27">
        <f t="shared" si="51"/>
        <v>0.10357142857142858</v>
      </c>
      <c r="BY11" s="27">
        <f t="shared" si="18"/>
        <v>0.93628571428571428</v>
      </c>
      <c r="BZ11" s="67">
        <v>77</v>
      </c>
      <c r="CA11" s="26">
        <f>'Production data'!T5</f>
        <v>804</v>
      </c>
      <c r="CB11" s="27">
        <f t="shared" si="52"/>
        <v>9.5771144278606959E-2</v>
      </c>
      <c r="CC11" s="27">
        <f t="shared" si="19"/>
        <v>0.8657711442786068</v>
      </c>
      <c r="CD11" s="67">
        <v>75</v>
      </c>
      <c r="CE11" s="26">
        <f>'Production data'!U5</f>
        <v>821</v>
      </c>
      <c r="CF11" s="27">
        <f t="shared" si="53"/>
        <v>9.1352009744214369E-2</v>
      </c>
      <c r="CG11" s="27">
        <f t="shared" si="20"/>
        <v>0.82582216808769782</v>
      </c>
      <c r="CH11" s="66">
        <v>4</v>
      </c>
      <c r="CI11" s="26">
        <f>'Production data'!V5</f>
        <v>0</v>
      </c>
      <c r="CJ11" s="27">
        <f t="shared" si="54"/>
        <v>0</v>
      </c>
      <c r="CK11" s="27">
        <f t="shared" si="21"/>
        <v>0</v>
      </c>
      <c r="CL11" s="58">
        <v>60</v>
      </c>
      <c r="CM11" s="26">
        <f>'Production data'!W5</f>
        <v>635</v>
      </c>
      <c r="CN11" s="27">
        <f t="shared" si="55"/>
        <v>9.4488188976377951E-2</v>
      </c>
      <c r="CO11" s="27">
        <f t="shared" si="22"/>
        <v>0.85417322834645659</v>
      </c>
      <c r="CP11" s="8">
        <v>33</v>
      </c>
      <c r="CQ11" s="26">
        <f>'Production data'!X5</f>
        <v>271</v>
      </c>
      <c r="CR11" s="27">
        <f t="shared" si="56"/>
        <v>0.12177121771217712</v>
      </c>
      <c r="CS11" s="27">
        <f t="shared" si="23"/>
        <v>1.1008118081180811</v>
      </c>
      <c r="CT11" s="8">
        <v>23</v>
      </c>
      <c r="CU11" s="26">
        <f>'Production data'!Y5</f>
        <v>150</v>
      </c>
      <c r="CV11" s="27">
        <f t="shared" si="57"/>
        <v>0.15333333333333332</v>
      </c>
      <c r="CW11" s="27">
        <f t="shared" si="24"/>
        <v>1.386133333333333</v>
      </c>
      <c r="CX11" s="8">
        <v>20</v>
      </c>
      <c r="CY11" s="26">
        <f>'Production data'!Z5</f>
        <v>130</v>
      </c>
      <c r="CZ11" s="27">
        <f t="shared" si="58"/>
        <v>0.15384615384615385</v>
      </c>
      <c r="DA11" s="27">
        <f t="shared" si="25"/>
        <v>1.3907692307692308</v>
      </c>
      <c r="DB11" s="63">
        <v>55</v>
      </c>
      <c r="DC11" s="26">
        <f>'Production data'!AA5</f>
        <v>442</v>
      </c>
      <c r="DD11" s="27">
        <f t="shared" si="59"/>
        <v>0.1244343891402715</v>
      </c>
      <c r="DE11" s="27">
        <f t="shared" si="26"/>
        <v>1.1248868778280543</v>
      </c>
      <c r="DF11" s="8">
        <v>57</v>
      </c>
      <c r="DG11" s="26">
        <f>'Production data'!AB5</f>
        <v>550</v>
      </c>
      <c r="DH11" s="27">
        <f t="shared" si="60"/>
        <v>0.10363636363636364</v>
      </c>
      <c r="DI11" s="27">
        <f t="shared" si="27"/>
        <v>0.93687272727272719</v>
      </c>
      <c r="DJ11" s="8">
        <v>25</v>
      </c>
      <c r="DK11" s="26">
        <f>'Production data'!AC5</f>
        <v>130</v>
      </c>
      <c r="DL11" s="27">
        <f t="shared" si="61"/>
        <v>0.19230769230769232</v>
      </c>
      <c r="DM11" s="27">
        <f t="shared" si="28"/>
        <v>1.7384615384615385</v>
      </c>
      <c r="DN11" s="8">
        <v>69</v>
      </c>
      <c r="DO11" s="26">
        <f>'Production data'!AD5</f>
        <v>740</v>
      </c>
      <c r="DP11" s="27">
        <f t="shared" si="62"/>
        <v>9.3243243243243248E-2</v>
      </c>
      <c r="DQ11" s="27">
        <f t="shared" si="29"/>
        <v>0.8429189189189189</v>
      </c>
      <c r="DR11" s="8">
        <v>79</v>
      </c>
      <c r="DS11" s="26">
        <f>'Production data'!AE5</f>
        <v>340</v>
      </c>
      <c r="DT11" s="27">
        <f t="shared" si="63"/>
        <v>0.2323529411764706</v>
      </c>
      <c r="DU11" s="27">
        <f t="shared" si="30"/>
        <v>2.1004705882352939</v>
      </c>
      <c r="DV11" s="8"/>
      <c r="DW11" s="26">
        <f>'Production data'!AF5</f>
        <v>0</v>
      </c>
      <c r="DX11" s="27">
        <f t="shared" ref="DX11:DX18" si="73">IF((DW11=0),0,DV11/DW11)</f>
        <v>0</v>
      </c>
      <c r="DY11" s="27">
        <f t="shared" ref="DY11:DY17" si="74">DX11*9.04</f>
        <v>0</v>
      </c>
      <c r="DZ11" s="28">
        <f t="shared" ref="DZ11:DZ18" si="75">F11+J11+N11+R11+V11+Z11+AD11+AH11+AL11+AP11+AT11+AX11+BB11+BF11+BJ11+BN11+BR11+BV11+BZ11+CD11+CH11+CL11+CP11+CT11+CX11+DB11+DF11+DJ11+DN11+DR11+DV11</f>
        <v>1410</v>
      </c>
      <c r="EA11" s="28">
        <f t="shared" ref="EA11:EA18" si="76">G11+K11+O11+S11+W11+AA11+AI11+AM11+AQ11+AU11+AY11+BC11+BG11+BK11+BO11+BS11+BW11+CA11+CE11+CI11+CM11+CQ11+CU11+CY11+DC11+DG11+DK11+DO11+DS11+DW11</f>
        <v>12230</v>
      </c>
      <c r="EB11" s="33">
        <f t="shared" ref="EB11:EB18" si="77">IF((EA11=0),0,DZ11/EA11)</f>
        <v>0.11529026982829109</v>
      </c>
      <c r="EC11" s="33">
        <f t="shared" ref="EC11:EC18" si="78">EB11*9.04</f>
        <v>1.0422240392477513</v>
      </c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30"/>
      <c r="EU11" s="30"/>
      <c r="EV11" s="30"/>
      <c r="EW11" s="30"/>
      <c r="EX11" s="30"/>
      <c r="EY11" s="30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1"/>
      <c r="FS11" s="31"/>
      <c r="FT11" s="31"/>
      <c r="FU11" s="31"/>
      <c r="FV11" s="31"/>
      <c r="FW11" s="31"/>
      <c r="FX11" s="31"/>
      <c r="FY11" s="31"/>
      <c r="FZ11" s="31"/>
      <c r="GA11" s="31"/>
      <c r="GB11" s="31"/>
      <c r="GC11" s="31"/>
      <c r="GD11" s="31"/>
      <c r="GE11" s="31"/>
      <c r="GF11" s="31"/>
      <c r="GG11" s="31"/>
      <c r="GH11" s="31"/>
      <c r="GI11" s="31"/>
      <c r="GJ11" s="31"/>
      <c r="GK11" s="31"/>
      <c r="GL11" s="31"/>
      <c r="GM11" s="31"/>
      <c r="GN11" s="31"/>
      <c r="GO11" s="31"/>
      <c r="GP11" s="31"/>
      <c r="GQ11" s="31"/>
      <c r="GR11" s="31"/>
      <c r="GS11" s="31"/>
      <c r="GT11" s="31"/>
      <c r="GU11" s="31"/>
      <c r="GV11" s="31"/>
      <c r="GW11" s="31"/>
      <c r="GX11" s="31"/>
      <c r="GY11" s="31"/>
      <c r="GZ11" s="31"/>
      <c r="HA11" s="31"/>
      <c r="HB11" s="31"/>
      <c r="HC11" s="31"/>
      <c r="HD11" s="31"/>
      <c r="HE11" s="31"/>
      <c r="HF11" s="31"/>
      <c r="HG11" s="31"/>
      <c r="HH11" s="31"/>
      <c r="HI11" s="31"/>
      <c r="HJ11" s="31"/>
      <c r="HK11" s="31"/>
      <c r="HL11" s="31"/>
      <c r="HM11" s="31"/>
      <c r="HN11" s="31"/>
      <c r="HO11" s="31"/>
      <c r="HP11" s="31"/>
      <c r="HQ11" s="31"/>
      <c r="HR11" s="31"/>
      <c r="HS11" s="31"/>
      <c r="HT11" s="31"/>
      <c r="HU11" s="31"/>
      <c r="HV11" s="31"/>
      <c r="HW11" s="31"/>
      <c r="HX11" s="31"/>
      <c r="HY11" s="31"/>
      <c r="HZ11" s="31"/>
      <c r="IA11" s="31"/>
      <c r="IB11" s="31"/>
      <c r="IC11" s="31"/>
      <c r="ID11" s="31"/>
      <c r="IE11" s="31"/>
      <c r="IF11" s="31"/>
      <c r="IG11" s="31"/>
      <c r="IH11" s="31"/>
      <c r="II11" s="31"/>
      <c r="IJ11" s="31"/>
      <c r="IK11" s="31"/>
      <c r="IL11" s="31"/>
      <c r="IM11" s="31"/>
      <c r="IN11" s="31"/>
      <c r="IO11" s="31"/>
      <c r="IP11" s="31"/>
      <c r="IQ11" s="31"/>
      <c r="IR11" s="31"/>
      <c r="IS11" s="31"/>
      <c r="IT11" s="31"/>
      <c r="IU11" s="31"/>
      <c r="IV11" s="31"/>
      <c r="IW11" s="31"/>
      <c r="IX11" s="31"/>
      <c r="IY11" s="31"/>
      <c r="IZ11" s="31"/>
      <c r="JA11" s="31"/>
      <c r="JB11" s="31"/>
      <c r="JC11" s="31"/>
      <c r="JD11" s="31"/>
      <c r="JE11" s="31"/>
      <c r="JF11" s="31"/>
      <c r="JG11" s="31"/>
      <c r="JH11" s="31"/>
      <c r="JI11" s="31"/>
      <c r="JJ11" s="31"/>
      <c r="JK11" s="31"/>
      <c r="JL11" s="31"/>
      <c r="JM11" s="31"/>
    </row>
    <row r="12" spans="1:274" s="32" customFormat="1" ht="25.5" x14ac:dyDescent="0.35">
      <c r="A12" s="24"/>
      <c r="B12" s="24"/>
      <c r="C12" s="24">
        <v>22</v>
      </c>
      <c r="D12" s="25" t="s">
        <v>287</v>
      </c>
      <c r="E12" s="72"/>
      <c r="F12" s="67">
        <v>0</v>
      </c>
      <c r="G12" s="26">
        <f t="shared" ref="G12:G17" si="79">G11</f>
        <v>0</v>
      </c>
      <c r="H12" s="27">
        <f t="shared" si="34"/>
        <v>0</v>
      </c>
      <c r="I12" s="27">
        <f t="shared" si="35"/>
        <v>0</v>
      </c>
      <c r="J12" s="67">
        <v>63</v>
      </c>
      <c r="K12" s="26">
        <f t="shared" ref="K12:K17" si="80">K11</f>
        <v>623</v>
      </c>
      <c r="L12" s="27">
        <f t="shared" si="36"/>
        <v>0.10112359550561797</v>
      </c>
      <c r="M12" s="27">
        <f t="shared" si="1"/>
        <v>0.91415730337078638</v>
      </c>
      <c r="N12" s="67">
        <v>34</v>
      </c>
      <c r="O12" s="26">
        <f t="shared" ref="O12:O17" si="81">O11</f>
        <v>370</v>
      </c>
      <c r="P12" s="27">
        <f t="shared" si="37"/>
        <v>9.1891891891891897E-2</v>
      </c>
      <c r="Q12" s="27">
        <f t="shared" si="2"/>
        <v>0.83070270270270263</v>
      </c>
      <c r="R12" s="67">
        <v>62</v>
      </c>
      <c r="S12" s="26">
        <f t="shared" ref="S12:S17" si="82">S11</f>
        <v>580</v>
      </c>
      <c r="T12" s="27">
        <f t="shared" si="38"/>
        <v>0.10689655172413794</v>
      </c>
      <c r="U12" s="27">
        <f t="shared" si="3"/>
        <v>0.96634482758620688</v>
      </c>
      <c r="V12" s="67">
        <v>34</v>
      </c>
      <c r="W12" s="26">
        <f t="shared" ref="W12:W17" si="83">W11</f>
        <v>300</v>
      </c>
      <c r="X12" s="27">
        <f t="shared" si="39"/>
        <v>0.11333333333333333</v>
      </c>
      <c r="Y12" s="27">
        <f t="shared" si="4"/>
        <v>1.0245333333333333</v>
      </c>
      <c r="Z12" s="67">
        <v>0</v>
      </c>
      <c r="AA12" s="26">
        <f t="shared" ref="AA12:AA17" si="84">AA11</f>
        <v>0</v>
      </c>
      <c r="AB12" s="27">
        <f t="shared" si="40"/>
        <v>0</v>
      </c>
      <c r="AC12" s="27">
        <f t="shared" si="5"/>
        <v>0</v>
      </c>
      <c r="AD12" s="67">
        <v>47</v>
      </c>
      <c r="AE12" s="26">
        <f t="shared" ref="AE12:AE17" si="85">AE11</f>
        <v>448</v>
      </c>
      <c r="AF12" s="27">
        <f t="shared" si="71"/>
        <v>0.10491071428571429</v>
      </c>
      <c r="AG12" s="27">
        <f t="shared" si="72"/>
        <v>0.94839285714285704</v>
      </c>
      <c r="AH12" s="67">
        <v>39</v>
      </c>
      <c r="AI12" s="26">
        <f t="shared" ref="AI12:AI17" si="86">AI11</f>
        <v>400</v>
      </c>
      <c r="AJ12" s="27">
        <f t="shared" si="41"/>
        <v>9.7500000000000003E-2</v>
      </c>
      <c r="AK12" s="27">
        <f t="shared" si="8"/>
        <v>0.88139999999999996</v>
      </c>
      <c r="AL12" s="67">
        <v>46</v>
      </c>
      <c r="AM12" s="26">
        <f t="shared" ref="AM12:AM17" si="87">AM11</f>
        <v>347</v>
      </c>
      <c r="AN12" s="27">
        <f t="shared" si="42"/>
        <v>0.13256484149855907</v>
      </c>
      <c r="AO12" s="27">
        <f t="shared" si="9"/>
        <v>1.198386167146974</v>
      </c>
      <c r="AP12" s="66">
        <v>62</v>
      </c>
      <c r="AQ12" s="26">
        <f t="shared" ref="AQ12:AQ17" si="88">AQ11</f>
        <v>473</v>
      </c>
      <c r="AR12" s="27">
        <f t="shared" si="43"/>
        <v>0.13107822410147993</v>
      </c>
      <c r="AS12" s="27">
        <f t="shared" si="10"/>
        <v>1.1849471458773784</v>
      </c>
      <c r="AT12" s="67">
        <v>56</v>
      </c>
      <c r="AU12" s="26">
        <f t="shared" ref="AU12:AU17" si="89">AU11</f>
        <v>432</v>
      </c>
      <c r="AV12" s="27">
        <f t="shared" si="44"/>
        <v>0.12962962962962962</v>
      </c>
      <c r="AW12" s="27">
        <f t="shared" si="11"/>
        <v>1.1718518518518517</v>
      </c>
      <c r="AX12" s="66">
        <v>61</v>
      </c>
      <c r="AY12" s="26">
        <f t="shared" ref="AY12:AY17" si="90">AY11</f>
        <v>550</v>
      </c>
      <c r="AZ12" s="27">
        <f t="shared" si="45"/>
        <v>0.11090909090909092</v>
      </c>
      <c r="BA12" s="27">
        <f t="shared" si="12"/>
        <v>1.0026181818181819</v>
      </c>
      <c r="BB12" s="67">
        <v>69</v>
      </c>
      <c r="BC12" s="26">
        <f t="shared" ref="BC12:BC17" si="91">BC11</f>
        <v>670</v>
      </c>
      <c r="BD12" s="27">
        <f t="shared" si="46"/>
        <v>0.10298507462686567</v>
      </c>
      <c r="BE12" s="27">
        <f t="shared" si="13"/>
        <v>0.93098507462686553</v>
      </c>
      <c r="BF12" s="67">
        <v>30</v>
      </c>
      <c r="BG12" s="26">
        <f t="shared" ref="BG12:BG17" si="92">BG11</f>
        <v>260</v>
      </c>
      <c r="BH12" s="27">
        <f t="shared" si="47"/>
        <v>0.11538461538461539</v>
      </c>
      <c r="BI12" s="27">
        <f t="shared" si="14"/>
        <v>1.043076923076923</v>
      </c>
      <c r="BJ12" s="67">
        <v>72</v>
      </c>
      <c r="BK12" s="26">
        <f t="shared" ref="BK12:BK17" si="93">BK11</f>
        <v>711</v>
      </c>
      <c r="BL12" s="27">
        <f t="shared" si="48"/>
        <v>0.10126582278481013</v>
      </c>
      <c r="BM12" s="27">
        <f t="shared" si="15"/>
        <v>0.9154430379746834</v>
      </c>
      <c r="BN12" s="67">
        <v>70</v>
      </c>
      <c r="BO12" s="26">
        <f t="shared" ref="BO12:BO17" si="94">BO11</f>
        <v>749</v>
      </c>
      <c r="BP12" s="27">
        <f t="shared" si="49"/>
        <v>9.3457943925233641E-2</v>
      </c>
      <c r="BQ12" s="27">
        <f t="shared" si="16"/>
        <v>0.84485981308411207</v>
      </c>
      <c r="BR12" s="67">
        <v>28</v>
      </c>
      <c r="BS12" s="26">
        <f t="shared" ref="BS12:BS17" si="95">BS11</f>
        <v>192</v>
      </c>
      <c r="BT12" s="27">
        <f t="shared" si="50"/>
        <v>0.14583333333333334</v>
      </c>
      <c r="BU12" s="27">
        <f t="shared" si="17"/>
        <v>1.3183333333333334</v>
      </c>
      <c r="BV12" s="67">
        <v>57</v>
      </c>
      <c r="BW12" s="26">
        <f t="shared" ref="BW12:BW17" si="96">BW11</f>
        <v>560</v>
      </c>
      <c r="BX12" s="27">
        <f t="shared" si="51"/>
        <v>0.10178571428571428</v>
      </c>
      <c r="BY12" s="27">
        <f t="shared" si="18"/>
        <v>0.92014285714285704</v>
      </c>
      <c r="BZ12" s="67">
        <v>77</v>
      </c>
      <c r="CA12" s="26">
        <f t="shared" ref="CA12:CA17" si="97">CA11</f>
        <v>804</v>
      </c>
      <c r="CB12" s="27">
        <f t="shared" si="52"/>
        <v>9.5771144278606959E-2</v>
      </c>
      <c r="CC12" s="27">
        <f t="shared" si="19"/>
        <v>0.8657711442786068</v>
      </c>
      <c r="CD12" s="67">
        <v>75</v>
      </c>
      <c r="CE12" s="26">
        <f t="shared" ref="CE12:CE17" si="98">CE11</f>
        <v>821</v>
      </c>
      <c r="CF12" s="27">
        <f t="shared" si="53"/>
        <v>9.1352009744214369E-2</v>
      </c>
      <c r="CG12" s="27">
        <f t="shared" si="20"/>
        <v>0.82582216808769782</v>
      </c>
      <c r="CH12" s="66">
        <v>4</v>
      </c>
      <c r="CI12" s="26">
        <f t="shared" ref="CI12:CI17" si="99">CI11</f>
        <v>0</v>
      </c>
      <c r="CJ12" s="27">
        <f t="shared" si="54"/>
        <v>0</v>
      </c>
      <c r="CK12" s="27">
        <f t="shared" si="21"/>
        <v>0</v>
      </c>
      <c r="CL12" s="58">
        <v>61</v>
      </c>
      <c r="CM12" s="26">
        <f t="shared" ref="CM12:CM17" si="100">CM11</f>
        <v>635</v>
      </c>
      <c r="CN12" s="27">
        <f t="shared" si="55"/>
        <v>9.6062992125984251E-2</v>
      </c>
      <c r="CO12" s="27">
        <f t="shared" si="22"/>
        <v>0.86840944881889759</v>
      </c>
      <c r="CP12" s="8">
        <v>32</v>
      </c>
      <c r="CQ12" s="26">
        <f t="shared" ref="CQ12:CQ17" si="101">CQ11</f>
        <v>271</v>
      </c>
      <c r="CR12" s="27">
        <f t="shared" si="56"/>
        <v>0.11808118081180811</v>
      </c>
      <c r="CS12" s="27">
        <f t="shared" si="23"/>
        <v>1.0674538745387452</v>
      </c>
      <c r="CT12" s="8">
        <v>23</v>
      </c>
      <c r="CU12" s="26">
        <f t="shared" ref="CU12:CU17" si="102">CU11</f>
        <v>150</v>
      </c>
      <c r="CV12" s="27">
        <f t="shared" si="57"/>
        <v>0.15333333333333332</v>
      </c>
      <c r="CW12" s="27">
        <f t="shared" si="24"/>
        <v>1.386133333333333</v>
      </c>
      <c r="CX12" s="8">
        <v>20</v>
      </c>
      <c r="CY12" s="26">
        <f t="shared" ref="CY12:CY17" si="103">CY11</f>
        <v>130</v>
      </c>
      <c r="CZ12" s="27">
        <f t="shared" si="58"/>
        <v>0.15384615384615385</v>
      </c>
      <c r="DA12" s="27">
        <f t="shared" si="25"/>
        <v>1.3907692307692308</v>
      </c>
      <c r="DB12" s="63">
        <v>56</v>
      </c>
      <c r="DC12" s="26">
        <f t="shared" ref="DC12:DC17" si="104">DC11</f>
        <v>442</v>
      </c>
      <c r="DD12" s="27">
        <f t="shared" si="59"/>
        <v>0.12669683257918551</v>
      </c>
      <c r="DE12" s="27">
        <f t="shared" si="26"/>
        <v>1.1453393665158369</v>
      </c>
      <c r="DF12" s="8">
        <v>57</v>
      </c>
      <c r="DG12" s="26">
        <f t="shared" ref="DG12:DG17" si="105">DG11</f>
        <v>550</v>
      </c>
      <c r="DH12" s="27">
        <f t="shared" si="60"/>
        <v>0.10363636363636364</v>
      </c>
      <c r="DI12" s="27">
        <f t="shared" si="27"/>
        <v>0.93687272727272719</v>
      </c>
      <c r="DJ12" s="8">
        <v>25</v>
      </c>
      <c r="DK12" s="26">
        <f t="shared" ref="DK12:DK17" si="106">DK11</f>
        <v>130</v>
      </c>
      <c r="DL12" s="27">
        <f t="shared" si="61"/>
        <v>0.19230769230769232</v>
      </c>
      <c r="DM12" s="27">
        <f t="shared" si="28"/>
        <v>1.7384615384615385</v>
      </c>
      <c r="DN12" s="8">
        <v>70</v>
      </c>
      <c r="DO12" s="26">
        <f t="shared" ref="DO12:DO17" si="107">DO11</f>
        <v>740</v>
      </c>
      <c r="DP12" s="27">
        <f t="shared" si="62"/>
        <v>9.45945945945946E-2</v>
      </c>
      <c r="DQ12" s="27">
        <f t="shared" si="29"/>
        <v>0.85513513513513506</v>
      </c>
      <c r="DR12" s="8">
        <v>0</v>
      </c>
      <c r="DS12" s="26">
        <f t="shared" ref="DS12:DS17" si="108">DS11</f>
        <v>340</v>
      </c>
      <c r="DT12" s="27">
        <f t="shared" si="63"/>
        <v>0</v>
      </c>
      <c r="DU12" s="27">
        <f t="shared" si="30"/>
        <v>0</v>
      </c>
      <c r="DV12" s="8"/>
      <c r="DW12" s="26">
        <f t="shared" ref="DW12:DW17" si="109">DW11</f>
        <v>0</v>
      </c>
      <c r="DX12" s="27">
        <f t="shared" si="73"/>
        <v>0</v>
      </c>
      <c r="DY12" s="27">
        <f t="shared" si="74"/>
        <v>0</v>
      </c>
      <c r="DZ12" s="28">
        <f t="shared" si="75"/>
        <v>1330</v>
      </c>
      <c r="EA12" s="28">
        <f t="shared" si="76"/>
        <v>12230</v>
      </c>
      <c r="EB12" s="33">
        <f t="shared" si="77"/>
        <v>0.10874897792313983</v>
      </c>
      <c r="EC12" s="33">
        <f t="shared" si="78"/>
        <v>0.98309076042518395</v>
      </c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9"/>
      <c r="EQ12" s="29"/>
      <c r="ER12" s="29"/>
      <c r="ES12" s="29"/>
      <c r="ET12" s="30"/>
      <c r="EU12" s="30"/>
      <c r="EV12" s="30"/>
      <c r="EW12" s="30"/>
      <c r="EX12" s="30"/>
      <c r="EY12" s="30"/>
      <c r="EZ12" s="31"/>
      <c r="FA12" s="31"/>
      <c r="FB12" s="31"/>
      <c r="FC12" s="31"/>
      <c r="FD12" s="31"/>
      <c r="FE12" s="31"/>
      <c r="FF12" s="31"/>
      <c r="FG12" s="31"/>
      <c r="FH12" s="31"/>
      <c r="FI12" s="31"/>
      <c r="FJ12" s="31"/>
      <c r="FK12" s="31"/>
      <c r="FL12" s="31"/>
      <c r="FM12" s="31"/>
      <c r="FN12" s="31"/>
      <c r="FO12" s="31"/>
      <c r="FP12" s="31"/>
      <c r="FQ12" s="31"/>
      <c r="FR12" s="31"/>
      <c r="FS12" s="31"/>
      <c r="FT12" s="31"/>
      <c r="FU12" s="31"/>
      <c r="FV12" s="31"/>
      <c r="FW12" s="31"/>
      <c r="FX12" s="31"/>
      <c r="FY12" s="31"/>
      <c r="FZ12" s="31"/>
      <c r="GA12" s="31"/>
      <c r="GB12" s="31"/>
      <c r="GC12" s="31"/>
      <c r="GD12" s="31"/>
      <c r="GE12" s="31"/>
      <c r="GF12" s="31"/>
      <c r="GG12" s="31"/>
      <c r="GH12" s="31"/>
      <c r="GI12" s="31"/>
      <c r="GJ12" s="31"/>
      <c r="GK12" s="31"/>
      <c r="GL12" s="31"/>
      <c r="GM12" s="31"/>
      <c r="GN12" s="31"/>
      <c r="GO12" s="31"/>
      <c r="GP12" s="31"/>
      <c r="GQ12" s="31"/>
      <c r="GR12" s="31"/>
      <c r="GS12" s="31"/>
      <c r="GT12" s="31"/>
      <c r="GU12" s="31"/>
      <c r="GV12" s="31"/>
      <c r="GW12" s="31"/>
      <c r="GX12" s="31"/>
      <c r="GY12" s="31"/>
      <c r="GZ12" s="31"/>
      <c r="HA12" s="31"/>
      <c r="HB12" s="31"/>
      <c r="HC12" s="31"/>
      <c r="HD12" s="31"/>
      <c r="HE12" s="31"/>
      <c r="HF12" s="31"/>
      <c r="HG12" s="31"/>
      <c r="HH12" s="31"/>
      <c r="HI12" s="31"/>
      <c r="HJ12" s="31"/>
      <c r="HK12" s="31"/>
      <c r="HL12" s="31"/>
      <c r="HM12" s="31"/>
      <c r="HN12" s="31"/>
      <c r="HO12" s="31"/>
      <c r="HP12" s="31"/>
      <c r="HQ12" s="31"/>
      <c r="HR12" s="31"/>
      <c r="HS12" s="31"/>
      <c r="HT12" s="31"/>
      <c r="HU12" s="31"/>
      <c r="HV12" s="31"/>
      <c r="HW12" s="31"/>
      <c r="HX12" s="31"/>
      <c r="HY12" s="31"/>
      <c r="HZ12" s="31"/>
      <c r="IA12" s="31"/>
      <c r="IB12" s="31"/>
      <c r="IC12" s="31"/>
      <c r="ID12" s="31"/>
      <c r="IE12" s="31"/>
      <c r="IF12" s="31"/>
      <c r="IG12" s="31"/>
      <c r="IH12" s="31"/>
      <c r="II12" s="31"/>
      <c r="IJ12" s="31"/>
      <c r="IK12" s="31"/>
      <c r="IL12" s="31"/>
      <c r="IM12" s="31"/>
      <c r="IN12" s="31"/>
      <c r="IO12" s="31"/>
      <c r="IP12" s="31"/>
      <c r="IQ12" s="31"/>
      <c r="IR12" s="31"/>
      <c r="IS12" s="31"/>
      <c r="IT12" s="31"/>
      <c r="IU12" s="31"/>
      <c r="IV12" s="31"/>
      <c r="IW12" s="31"/>
      <c r="IX12" s="31"/>
      <c r="IY12" s="31"/>
      <c r="IZ12" s="31"/>
      <c r="JA12" s="31"/>
      <c r="JB12" s="31"/>
      <c r="JC12" s="31"/>
      <c r="JD12" s="31"/>
      <c r="JE12" s="31"/>
      <c r="JF12" s="31"/>
      <c r="JG12" s="31"/>
      <c r="JH12" s="31"/>
      <c r="JI12" s="31"/>
      <c r="JJ12" s="31"/>
      <c r="JK12" s="31"/>
      <c r="JL12" s="31"/>
      <c r="JM12" s="31"/>
    </row>
    <row r="13" spans="1:274" s="32" customFormat="1" ht="25.5" x14ac:dyDescent="0.35">
      <c r="A13" s="24"/>
      <c r="B13" s="24"/>
      <c r="C13" s="24">
        <v>23</v>
      </c>
      <c r="D13" s="25" t="s">
        <v>348</v>
      </c>
      <c r="E13" s="72"/>
      <c r="F13" s="67">
        <v>0</v>
      </c>
      <c r="G13" s="26">
        <f>'Production data'!B16</f>
        <v>0</v>
      </c>
      <c r="H13" s="27">
        <f t="shared" si="34"/>
        <v>0</v>
      </c>
      <c r="I13" s="27">
        <f t="shared" si="35"/>
        <v>0</v>
      </c>
      <c r="J13" s="67">
        <v>74</v>
      </c>
      <c r="K13" s="26">
        <f>'Production data'!C16</f>
        <v>1159</v>
      </c>
      <c r="L13" s="27">
        <f t="shared" si="36"/>
        <v>6.3848144952545302E-2</v>
      </c>
      <c r="M13" s="27">
        <f t="shared" si="1"/>
        <v>0.5771872303710095</v>
      </c>
      <c r="N13" s="67">
        <v>62</v>
      </c>
      <c r="O13" s="26">
        <f>'Production data'!D16</f>
        <v>918</v>
      </c>
      <c r="P13" s="27">
        <f t="shared" si="37"/>
        <v>6.7538126361655779E-2</v>
      </c>
      <c r="Q13" s="27">
        <f t="shared" si="2"/>
        <v>0.61054466230936821</v>
      </c>
      <c r="R13" s="67">
        <v>72</v>
      </c>
      <c r="S13" s="26">
        <f>'Production data'!E16</f>
        <v>1274</v>
      </c>
      <c r="T13" s="27">
        <f t="shared" si="38"/>
        <v>5.6514913657770803E-2</v>
      </c>
      <c r="U13" s="27">
        <f t="shared" si="3"/>
        <v>0.51089481946624804</v>
      </c>
      <c r="V13" s="67">
        <v>68</v>
      </c>
      <c r="W13" s="26">
        <f>'Production data'!F16</f>
        <v>1216</v>
      </c>
      <c r="X13" s="27">
        <f t="shared" si="39"/>
        <v>5.5921052631578948E-2</v>
      </c>
      <c r="Y13" s="27">
        <f t="shared" si="4"/>
        <v>0.5055263157894736</v>
      </c>
      <c r="Z13" s="67">
        <v>1</v>
      </c>
      <c r="AA13" s="26">
        <f>'Production data'!G16</f>
        <v>0</v>
      </c>
      <c r="AB13" s="27">
        <f t="shared" si="40"/>
        <v>0</v>
      </c>
      <c r="AC13" s="27">
        <f t="shared" si="5"/>
        <v>0</v>
      </c>
      <c r="AD13" s="67">
        <v>65</v>
      </c>
      <c r="AE13" s="26">
        <f>'Production data'!H16</f>
        <v>1170</v>
      </c>
      <c r="AF13" s="27">
        <f t="shared" si="71"/>
        <v>5.5555555555555552E-2</v>
      </c>
      <c r="AG13" s="27">
        <f t="shared" si="72"/>
        <v>0.50222222222222213</v>
      </c>
      <c r="AH13" s="67">
        <v>69</v>
      </c>
      <c r="AI13" s="26">
        <f>'Production data'!I16</f>
        <v>1055</v>
      </c>
      <c r="AJ13" s="27">
        <f t="shared" si="41"/>
        <v>6.540284360189573E-2</v>
      </c>
      <c r="AK13" s="27">
        <f t="shared" si="8"/>
        <v>0.59124170616113736</v>
      </c>
      <c r="AL13" s="67">
        <v>58</v>
      </c>
      <c r="AM13" s="26">
        <f>'Production data'!J16</f>
        <v>567</v>
      </c>
      <c r="AN13" s="27">
        <f t="shared" si="42"/>
        <v>0.10229276895943562</v>
      </c>
      <c r="AO13" s="27">
        <f t="shared" si="9"/>
        <v>0.92472663139329792</v>
      </c>
      <c r="AP13" s="66">
        <v>57</v>
      </c>
      <c r="AQ13" s="26">
        <f>'Production data'!K16</f>
        <v>589</v>
      </c>
      <c r="AR13" s="27">
        <f t="shared" si="43"/>
        <v>9.6774193548387094E-2</v>
      </c>
      <c r="AS13" s="27">
        <f t="shared" si="10"/>
        <v>0.87483870967741928</v>
      </c>
      <c r="AT13" s="67">
        <v>63</v>
      </c>
      <c r="AU13" s="26">
        <f>'Production data'!L16</f>
        <v>800</v>
      </c>
      <c r="AV13" s="27">
        <f t="shared" si="44"/>
        <v>7.8750000000000001E-2</v>
      </c>
      <c r="AW13" s="27">
        <f t="shared" si="11"/>
        <v>0.71189999999999998</v>
      </c>
      <c r="AX13" s="67">
        <v>57</v>
      </c>
      <c r="AY13" s="26">
        <f>'Production data'!M16</f>
        <v>555</v>
      </c>
      <c r="AZ13" s="27">
        <f t="shared" si="45"/>
        <v>0.10270270270270271</v>
      </c>
      <c r="BA13" s="27">
        <f t="shared" si="12"/>
        <v>0.92843243243243234</v>
      </c>
      <c r="BB13" s="67">
        <v>66</v>
      </c>
      <c r="BC13" s="26">
        <f>'Production data'!N16</f>
        <v>858</v>
      </c>
      <c r="BD13" s="27">
        <f t="shared" si="46"/>
        <v>7.6923076923076927E-2</v>
      </c>
      <c r="BE13" s="27">
        <f t="shared" si="13"/>
        <v>0.69538461538461538</v>
      </c>
      <c r="BF13" s="67">
        <v>33</v>
      </c>
      <c r="BG13" s="26">
        <f>'Production data'!O16</f>
        <v>512</v>
      </c>
      <c r="BH13" s="27">
        <f t="shared" si="47"/>
        <v>6.4453125E-2</v>
      </c>
      <c r="BI13" s="27">
        <f t="shared" si="14"/>
        <v>0.58265624999999999</v>
      </c>
      <c r="BJ13" s="67">
        <v>60</v>
      </c>
      <c r="BK13" s="26">
        <f>'Production data'!P16</f>
        <v>632</v>
      </c>
      <c r="BL13" s="27">
        <f t="shared" si="48"/>
        <v>9.49367088607595E-2</v>
      </c>
      <c r="BM13" s="27">
        <f t="shared" si="15"/>
        <v>0.85822784810126584</v>
      </c>
      <c r="BN13" s="67">
        <v>73</v>
      </c>
      <c r="BO13" s="26">
        <f>'Production data'!Q16</f>
        <v>1264</v>
      </c>
      <c r="BP13" s="27">
        <f t="shared" si="49"/>
        <v>5.7753164556962028E-2</v>
      </c>
      <c r="BQ13" s="27">
        <f t="shared" si="16"/>
        <v>0.52208860759493669</v>
      </c>
      <c r="BR13" s="67">
        <v>65</v>
      </c>
      <c r="BS13" s="26">
        <f>'Production data'!R16</f>
        <v>1055</v>
      </c>
      <c r="BT13" s="27">
        <f t="shared" si="50"/>
        <v>6.1611374407582936E-2</v>
      </c>
      <c r="BU13" s="27">
        <f t="shared" si="17"/>
        <v>0.55696682464454972</v>
      </c>
      <c r="BV13" s="67">
        <v>65</v>
      </c>
      <c r="BW13" s="26">
        <f>'Production data'!S16</f>
        <v>850</v>
      </c>
      <c r="BX13" s="27">
        <f t="shared" si="51"/>
        <v>7.6470588235294124E-2</v>
      </c>
      <c r="BY13" s="27">
        <f t="shared" si="18"/>
        <v>0.69129411764705884</v>
      </c>
      <c r="BZ13" s="67">
        <v>76</v>
      </c>
      <c r="CA13" s="26">
        <f>'Production data'!T16</f>
        <v>960</v>
      </c>
      <c r="CB13" s="27">
        <f t="shared" si="52"/>
        <v>7.9166666666666663E-2</v>
      </c>
      <c r="CC13" s="27">
        <f t="shared" si="19"/>
        <v>0.71566666666666656</v>
      </c>
      <c r="CD13" s="67">
        <v>69</v>
      </c>
      <c r="CE13" s="26">
        <f>'Production data'!U16</f>
        <v>440</v>
      </c>
      <c r="CF13" s="27">
        <f t="shared" si="53"/>
        <v>0.15681818181818183</v>
      </c>
      <c r="CG13" s="27">
        <f t="shared" si="20"/>
        <v>1.4176363636363636</v>
      </c>
      <c r="CH13" s="66">
        <v>2</v>
      </c>
      <c r="CI13" s="26">
        <f>'Production data'!V16</f>
        <v>0</v>
      </c>
      <c r="CJ13" s="27">
        <f t="shared" si="54"/>
        <v>0</v>
      </c>
      <c r="CK13" s="27">
        <f t="shared" si="21"/>
        <v>0</v>
      </c>
      <c r="CL13" s="58">
        <v>72</v>
      </c>
      <c r="CM13" s="26">
        <f>'Production data'!W16</f>
        <v>1236</v>
      </c>
      <c r="CN13" s="27">
        <f t="shared" si="55"/>
        <v>5.8252427184466021E-2</v>
      </c>
      <c r="CO13" s="27">
        <f t="shared" si="22"/>
        <v>0.5266019417475728</v>
      </c>
      <c r="CP13" s="8">
        <v>69</v>
      </c>
      <c r="CQ13" s="26">
        <f>'Production data'!X16</f>
        <v>841</v>
      </c>
      <c r="CR13" s="27">
        <f t="shared" si="56"/>
        <v>8.2045184304399527E-2</v>
      </c>
      <c r="CS13" s="27">
        <f t="shared" si="23"/>
        <v>0.74168846611177164</v>
      </c>
      <c r="CT13" s="8">
        <v>63</v>
      </c>
      <c r="CU13" s="26">
        <f>'Production data'!Y16</f>
        <v>791</v>
      </c>
      <c r="CV13" s="27">
        <f t="shared" si="57"/>
        <v>7.9646017699115043E-2</v>
      </c>
      <c r="CW13" s="27">
        <f t="shared" si="24"/>
        <v>0.72</v>
      </c>
      <c r="CX13" s="8">
        <v>55</v>
      </c>
      <c r="CY13" s="26">
        <f>'Production data'!Z16</f>
        <v>568</v>
      </c>
      <c r="CZ13" s="27">
        <f t="shared" si="58"/>
        <v>9.6830985915492954E-2</v>
      </c>
      <c r="DA13" s="27">
        <f t="shared" si="25"/>
        <v>0.87535211267605617</v>
      </c>
      <c r="DB13" s="63">
        <v>63</v>
      </c>
      <c r="DC13" s="26">
        <f>'Production data'!AA16</f>
        <v>846</v>
      </c>
      <c r="DD13" s="27">
        <f t="shared" si="59"/>
        <v>7.4468085106382975E-2</v>
      </c>
      <c r="DE13" s="27">
        <f t="shared" si="26"/>
        <v>0.67319148936170203</v>
      </c>
      <c r="DF13" s="8">
        <v>68</v>
      </c>
      <c r="DG13" s="26">
        <f>'Production data'!AB16</f>
        <v>710</v>
      </c>
      <c r="DH13" s="27">
        <f t="shared" si="60"/>
        <v>9.5774647887323941E-2</v>
      </c>
      <c r="DI13" s="27">
        <f t="shared" si="27"/>
        <v>0.86580281690140837</v>
      </c>
      <c r="DJ13" s="8">
        <v>52</v>
      </c>
      <c r="DK13" s="26">
        <f>'Production data'!AC16</f>
        <v>936</v>
      </c>
      <c r="DL13" s="27">
        <f t="shared" si="61"/>
        <v>5.5555555555555552E-2</v>
      </c>
      <c r="DM13" s="27">
        <f t="shared" si="28"/>
        <v>0.50222222222222213</v>
      </c>
      <c r="DN13" s="8">
        <v>88</v>
      </c>
      <c r="DO13" s="26">
        <f>'Production data'!AD16</f>
        <v>617</v>
      </c>
      <c r="DP13" s="27">
        <f t="shared" si="62"/>
        <v>0.14262560777957861</v>
      </c>
      <c r="DQ13" s="27">
        <f t="shared" si="29"/>
        <v>1.2893354943273905</v>
      </c>
      <c r="DR13" s="8">
        <v>58</v>
      </c>
      <c r="DS13" s="26">
        <f>'Production data'!AE16</f>
        <v>692</v>
      </c>
      <c r="DT13" s="27">
        <f t="shared" si="63"/>
        <v>8.3815028901734104E-2</v>
      </c>
      <c r="DU13" s="27">
        <f t="shared" si="30"/>
        <v>0.7576878612716762</v>
      </c>
      <c r="DV13" s="8"/>
      <c r="DW13" s="26">
        <f>'Production data'!AF16</f>
        <v>0</v>
      </c>
      <c r="DX13" s="27">
        <f t="shared" si="73"/>
        <v>0</v>
      </c>
      <c r="DY13" s="27">
        <f t="shared" si="74"/>
        <v>0</v>
      </c>
      <c r="DZ13" s="28">
        <f t="shared" si="75"/>
        <v>1743</v>
      </c>
      <c r="EA13" s="28">
        <f t="shared" si="76"/>
        <v>21941</v>
      </c>
      <c r="EB13" s="33">
        <f t="shared" si="77"/>
        <v>7.9440317214347564E-2</v>
      </c>
      <c r="EC13" s="33">
        <f t="shared" si="78"/>
        <v>0.71814046761770189</v>
      </c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30"/>
      <c r="EU13" s="30"/>
      <c r="EV13" s="30"/>
      <c r="EW13" s="30"/>
      <c r="EX13" s="30"/>
      <c r="EY13" s="30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  <c r="FM13" s="31"/>
      <c r="FN13" s="31"/>
      <c r="FO13" s="31"/>
      <c r="FP13" s="31"/>
      <c r="FQ13" s="31"/>
      <c r="FR13" s="31"/>
      <c r="FS13" s="31"/>
      <c r="FT13" s="31"/>
      <c r="FU13" s="31"/>
      <c r="FV13" s="31"/>
      <c r="FW13" s="31"/>
      <c r="FX13" s="31"/>
      <c r="FY13" s="31"/>
      <c r="FZ13" s="31"/>
      <c r="GA13" s="31"/>
      <c r="GB13" s="31"/>
      <c r="GC13" s="31"/>
      <c r="GD13" s="31"/>
      <c r="GE13" s="31"/>
      <c r="GF13" s="31"/>
      <c r="GG13" s="31"/>
      <c r="GH13" s="31"/>
      <c r="GI13" s="31"/>
      <c r="GJ13" s="31"/>
      <c r="GK13" s="31"/>
      <c r="GL13" s="31"/>
      <c r="GM13" s="31"/>
      <c r="GN13" s="31"/>
      <c r="GO13" s="31"/>
      <c r="GP13" s="31"/>
      <c r="GQ13" s="31"/>
      <c r="GR13" s="31"/>
      <c r="GS13" s="31"/>
      <c r="GT13" s="31"/>
      <c r="GU13" s="31"/>
      <c r="GV13" s="31"/>
      <c r="GW13" s="31"/>
      <c r="GX13" s="31"/>
      <c r="GY13" s="31"/>
      <c r="GZ13" s="31"/>
      <c r="HA13" s="31"/>
      <c r="HB13" s="31"/>
      <c r="HC13" s="31"/>
      <c r="HD13" s="31"/>
      <c r="HE13" s="31"/>
      <c r="HF13" s="31"/>
      <c r="HG13" s="31"/>
      <c r="HH13" s="31"/>
      <c r="HI13" s="31"/>
      <c r="HJ13" s="31"/>
      <c r="HK13" s="31"/>
      <c r="HL13" s="31"/>
      <c r="HM13" s="31"/>
      <c r="HN13" s="31"/>
      <c r="HO13" s="31"/>
      <c r="HP13" s="31"/>
      <c r="HQ13" s="31"/>
      <c r="HR13" s="31"/>
      <c r="HS13" s="31"/>
      <c r="HT13" s="31"/>
      <c r="HU13" s="31"/>
      <c r="HV13" s="31"/>
      <c r="HW13" s="31"/>
      <c r="HX13" s="31"/>
      <c r="HY13" s="31"/>
      <c r="HZ13" s="31"/>
      <c r="IA13" s="31"/>
      <c r="IB13" s="31"/>
      <c r="IC13" s="31"/>
      <c r="ID13" s="31"/>
      <c r="IE13" s="31"/>
      <c r="IF13" s="31"/>
      <c r="IG13" s="31"/>
      <c r="IH13" s="31"/>
      <c r="II13" s="31"/>
      <c r="IJ13" s="31"/>
      <c r="IK13" s="31"/>
      <c r="IL13" s="31"/>
      <c r="IM13" s="31"/>
      <c r="IN13" s="31"/>
      <c r="IO13" s="31"/>
      <c r="IP13" s="31"/>
      <c r="IQ13" s="31"/>
      <c r="IR13" s="31"/>
      <c r="IS13" s="31"/>
      <c r="IT13" s="31"/>
      <c r="IU13" s="31"/>
      <c r="IV13" s="31"/>
      <c r="IW13" s="31"/>
      <c r="IX13" s="31"/>
      <c r="IY13" s="31"/>
      <c r="IZ13" s="31"/>
      <c r="JA13" s="31"/>
      <c r="JB13" s="31"/>
      <c r="JC13" s="31"/>
      <c r="JD13" s="31"/>
      <c r="JE13" s="31"/>
      <c r="JF13" s="31"/>
      <c r="JG13" s="31"/>
      <c r="JH13" s="31"/>
      <c r="JI13" s="31"/>
      <c r="JJ13" s="31"/>
      <c r="JK13" s="31"/>
      <c r="JL13" s="31"/>
      <c r="JM13" s="31"/>
    </row>
    <row r="14" spans="1:274" s="32" customFormat="1" ht="25.5" x14ac:dyDescent="0.35">
      <c r="A14" s="24"/>
      <c r="B14" s="24"/>
      <c r="C14" s="24">
        <v>24</v>
      </c>
      <c r="D14" s="25" t="s">
        <v>288</v>
      </c>
      <c r="E14" s="72"/>
      <c r="F14" s="67">
        <v>0</v>
      </c>
      <c r="G14" s="26">
        <f>G12</f>
        <v>0</v>
      </c>
      <c r="H14" s="27">
        <f t="shared" si="34"/>
        <v>0</v>
      </c>
      <c r="I14" s="27">
        <f t="shared" si="35"/>
        <v>0</v>
      </c>
      <c r="J14" s="67">
        <v>15</v>
      </c>
      <c r="K14" s="26">
        <f>K12</f>
        <v>623</v>
      </c>
      <c r="L14" s="27">
        <f t="shared" si="36"/>
        <v>2.4077046548956663E-2</v>
      </c>
      <c r="M14" s="27">
        <f t="shared" si="1"/>
        <v>0.21765650080256821</v>
      </c>
      <c r="N14" s="67">
        <v>12</v>
      </c>
      <c r="O14" s="26">
        <f>O12</f>
        <v>370</v>
      </c>
      <c r="P14" s="27">
        <f t="shared" si="37"/>
        <v>3.2432432432432434E-2</v>
      </c>
      <c r="Q14" s="27">
        <f t="shared" si="2"/>
        <v>0.29318918918918918</v>
      </c>
      <c r="R14" s="67">
        <v>13</v>
      </c>
      <c r="S14" s="26">
        <f>S12</f>
        <v>580</v>
      </c>
      <c r="T14" s="27">
        <f t="shared" si="38"/>
        <v>2.2413793103448276E-2</v>
      </c>
      <c r="U14" s="27">
        <f t="shared" si="3"/>
        <v>0.20262068965517238</v>
      </c>
      <c r="V14" s="67">
        <v>12</v>
      </c>
      <c r="W14" s="26">
        <f>W12</f>
        <v>300</v>
      </c>
      <c r="X14" s="27">
        <f t="shared" si="39"/>
        <v>0.04</v>
      </c>
      <c r="Y14" s="27">
        <f t="shared" si="4"/>
        <v>0.36159999999999998</v>
      </c>
      <c r="Z14" s="67">
        <v>0</v>
      </c>
      <c r="AA14" s="26">
        <f>AA12</f>
        <v>0</v>
      </c>
      <c r="AB14" s="27">
        <f t="shared" si="40"/>
        <v>0</v>
      </c>
      <c r="AC14" s="27">
        <f t="shared" si="5"/>
        <v>0</v>
      </c>
      <c r="AD14" s="67">
        <v>5</v>
      </c>
      <c r="AE14" s="26">
        <f>AE12</f>
        <v>448</v>
      </c>
      <c r="AF14" s="27">
        <f t="shared" si="71"/>
        <v>1.1160714285714286E-2</v>
      </c>
      <c r="AG14" s="27">
        <f t="shared" si="72"/>
        <v>0.10089285714285713</v>
      </c>
      <c r="AH14" s="67">
        <v>15</v>
      </c>
      <c r="AI14" s="26">
        <f>AI12</f>
        <v>400</v>
      </c>
      <c r="AJ14" s="27">
        <f t="shared" si="41"/>
        <v>3.7499999999999999E-2</v>
      </c>
      <c r="AK14" s="27">
        <f t="shared" si="8"/>
        <v>0.33899999999999997</v>
      </c>
      <c r="AL14" s="67">
        <v>12</v>
      </c>
      <c r="AM14" s="26">
        <f>AM12</f>
        <v>347</v>
      </c>
      <c r="AN14" s="27">
        <f t="shared" si="42"/>
        <v>3.4582132564841501E-2</v>
      </c>
      <c r="AO14" s="27">
        <f t="shared" si="9"/>
        <v>0.31262247838616714</v>
      </c>
      <c r="AP14" s="66">
        <v>12</v>
      </c>
      <c r="AQ14" s="26">
        <f>AQ12</f>
        <v>473</v>
      </c>
      <c r="AR14" s="27">
        <f t="shared" si="43"/>
        <v>2.5369978858350951E-2</v>
      </c>
      <c r="AS14" s="27">
        <f t="shared" si="10"/>
        <v>0.22934460887949257</v>
      </c>
      <c r="AT14" s="67">
        <v>13</v>
      </c>
      <c r="AU14" s="26">
        <f>AU12</f>
        <v>432</v>
      </c>
      <c r="AV14" s="27">
        <f t="shared" si="44"/>
        <v>3.0092592592592591E-2</v>
      </c>
      <c r="AW14" s="27">
        <f t="shared" si="11"/>
        <v>0.27203703703703702</v>
      </c>
      <c r="AX14" s="67">
        <v>12</v>
      </c>
      <c r="AY14" s="26">
        <f>AY12</f>
        <v>550</v>
      </c>
      <c r="AZ14" s="27">
        <f t="shared" si="45"/>
        <v>2.181818181818182E-2</v>
      </c>
      <c r="BA14" s="27">
        <f t="shared" si="12"/>
        <v>0.19723636363636363</v>
      </c>
      <c r="BB14" s="67">
        <v>17</v>
      </c>
      <c r="BC14" s="26">
        <f>BC12</f>
        <v>670</v>
      </c>
      <c r="BD14" s="27">
        <f t="shared" si="46"/>
        <v>2.5373134328358207E-2</v>
      </c>
      <c r="BE14" s="27">
        <f t="shared" si="13"/>
        <v>0.22937313432835818</v>
      </c>
      <c r="BF14" s="67">
        <v>8</v>
      </c>
      <c r="BG14" s="26">
        <f>BG12</f>
        <v>260</v>
      </c>
      <c r="BH14" s="27">
        <f t="shared" si="47"/>
        <v>3.0769230769230771E-2</v>
      </c>
      <c r="BI14" s="27">
        <f t="shared" si="14"/>
        <v>0.27815384615384614</v>
      </c>
      <c r="BJ14" s="67">
        <v>11</v>
      </c>
      <c r="BK14" s="26">
        <f>BK12</f>
        <v>711</v>
      </c>
      <c r="BL14" s="27">
        <f t="shared" si="48"/>
        <v>1.5471167369901548E-2</v>
      </c>
      <c r="BM14" s="27">
        <f t="shared" si="15"/>
        <v>0.13985935302390998</v>
      </c>
      <c r="BN14" s="67">
        <v>16</v>
      </c>
      <c r="BO14" s="26">
        <f>BO12</f>
        <v>749</v>
      </c>
      <c r="BP14" s="27">
        <f t="shared" si="49"/>
        <v>2.1361815754339118E-2</v>
      </c>
      <c r="BQ14" s="27">
        <f t="shared" si="16"/>
        <v>0.19311081441922562</v>
      </c>
      <c r="BR14" s="67">
        <v>14</v>
      </c>
      <c r="BS14" s="26">
        <f>BS12</f>
        <v>192</v>
      </c>
      <c r="BT14" s="27">
        <f t="shared" si="50"/>
        <v>7.2916666666666671E-2</v>
      </c>
      <c r="BU14" s="27">
        <f t="shared" si="17"/>
        <v>0.65916666666666668</v>
      </c>
      <c r="BV14" s="67">
        <v>14</v>
      </c>
      <c r="BW14" s="26">
        <f>BW12</f>
        <v>560</v>
      </c>
      <c r="BX14" s="27">
        <f t="shared" si="51"/>
        <v>2.5000000000000001E-2</v>
      </c>
      <c r="BY14" s="27">
        <f t="shared" si="18"/>
        <v>0.22599999999999998</v>
      </c>
      <c r="BZ14" s="67">
        <v>17</v>
      </c>
      <c r="CA14" s="26">
        <f>CA12</f>
        <v>804</v>
      </c>
      <c r="CB14" s="27">
        <f t="shared" si="52"/>
        <v>2.1144278606965175E-2</v>
      </c>
      <c r="CC14" s="27">
        <f t="shared" si="19"/>
        <v>0.19114427860696517</v>
      </c>
      <c r="CD14" s="67">
        <v>11</v>
      </c>
      <c r="CE14" s="26">
        <f>CE12</f>
        <v>821</v>
      </c>
      <c r="CF14" s="27">
        <f t="shared" si="53"/>
        <v>1.3398294762484775E-2</v>
      </c>
      <c r="CG14" s="27">
        <f t="shared" si="20"/>
        <v>0.12112058465286235</v>
      </c>
      <c r="CH14" s="66">
        <v>0</v>
      </c>
      <c r="CI14" s="26">
        <f>CI12</f>
        <v>0</v>
      </c>
      <c r="CJ14" s="27">
        <f t="shared" si="54"/>
        <v>0</v>
      </c>
      <c r="CK14" s="27">
        <f t="shared" si="21"/>
        <v>0</v>
      </c>
      <c r="CL14" s="58">
        <v>12</v>
      </c>
      <c r="CM14" s="26">
        <f>CM12</f>
        <v>635</v>
      </c>
      <c r="CN14" s="27">
        <f t="shared" si="55"/>
        <v>1.889763779527559E-2</v>
      </c>
      <c r="CO14" s="27">
        <f t="shared" si="22"/>
        <v>0.17083464566929132</v>
      </c>
      <c r="CP14" s="8">
        <v>13</v>
      </c>
      <c r="CQ14" s="26">
        <f>CQ12</f>
        <v>271</v>
      </c>
      <c r="CR14" s="27">
        <f t="shared" si="56"/>
        <v>4.797047970479705E-2</v>
      </c>
      <c r="CS14" s="27">
        <f t="shared" si="23"/>
        <v>0.43365313653136528</v>
      </c>
      <c r="CT14" s="8">
        <v>16</v>
      </c>
      <c r="CU14" s="26">
        <f>CU12</f>
        <v>150</v>
      </c>
      <c r="CV14" s="27">
        <f t="shared" si="57"/>
        <v>0.10666666666666667</v>
      </c>
      <c r="CW14" s="27">
        <f t="shared" si="24"/>
        <v>0.96426666666666661</v>
      </c>
      <c r="CX14" s="8">
        <v>12</v>
      </c>
      <c r="CY14" s="26">
        <f>CY12</f>
        <v>130</v>
      </c>
      <c r="CZ14" s="27">
        <f t="shared" si="58"/>
        <v>9.2307692307692313E-2</v>
      </c>
      <c r="DA14" s="27">
        <f t="shared" si="25"/>
        <v>0.83446153846153848</v>
      </c>
      <c r="DB14" s="63">
        <v>11</v>
      </c>
      <c r="DC14" s="26">
        <f>DC12</f>
        <v>442</v>
      </c>
      <c r="DD14" s="27">
        <f t="shared" si="59"/>
        <v>2.4886877828054297E-2</v>
      </c>
      <c r="DE14" s="27">
        <f t="shared" si="26"/>
        <v>0.22497737556561082</v>
      </c>
      <c r="DF14" s="8">
        <v>15</v>
      </c>
      <c r="DG14" s="26">
        <f>DG12</f>
        <v>550</v>
      </c>
      <c r="DH14" s="27">
        <f t="shared" si="60"/>
        <v>2.7272727272727271E-2</v>
      </c>
      <c r="DI14" s="27">
        <f t="shared" si="27"/>
        <v>0.24654545454545451</v>
      </c>
      <c r="DJ14" s="8">
        <v>10</v>
      </c>
      <c r="DK14" s="26">
        <f>DK12</f>
        <v>130</v>
      </c>
      <c r="DL14" s="27">
        <f t="shared" si="61"/>
        <v>7.6923076923076927E-2</v>
      </c>
      <c r="DM14" s="27">
        <f t="shared" si="28"/>
        <v>0.69538461538461538</v>
      </c>
      <c r="DN14" s="8">
        <v>16</v>
      </c>
      <c r="DO14" s="26">
        <f>DO12</f>
        <v>740</v>
      </c>
      <c r="DP14" s="27">
        <f t="shared" si="62"/>
        <v>2.1621621621621623E-2</v>
      </c>
      <c r="DQ14" s="27">
        <f t="shared" si="29"/>
        <v>0.19545945945945944</v>
      </c>
      <c r="DR14" s="8">
        <v>11</v>
      </c>
      <c r="DS14" s="26">
        <f>DS12</f>
        <v>340</v>
      </c>
      <c r="DT14" s="27">
        <f t="shared" si="63"/>
        <v>3.2352941176470591E-2</v>
      </c>
      <c r="DU14" s="27">
        <f t="shared" si="30"/>
        <v>0.29247058823529409</v>
      </c>
      <c r="DV14" s="8"/>
      <c r="DW14" s="26">
        <f>DW12</f>
        <v>0</v>
      </c>
      <c r="DX14" s="27">
        <f t="shared" si="73"/>
        <v>0</v>
      </c>
      <c r="DY14" s="27">
        <f t="shared" si="74"/>
        <v>0</v>
      </c>
      <c r="DZ14" s="28">
        <f t="shared" si="75"/>
        <v>345</v>
      </c>
      <c r="EA14" s="28">
        <f t="shared" si="76"/>
        <v>12230</v>
      </c>
      <c r="EB14" s="33">
        <f t="shared" si="77"/>
        <v>2.8209321340964842E-2</v>
      </c>
      <c r="EC14" s="33">
        <f t="shared" si="78"/>
        <v>0.25501226492232215</v>
      </c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30"/>
      <c r="EU14" s="30"/>
      <c r="EV14" s="30"/>
      <c r="EW14" s="30"/>
      <c r="EX14" s="30"/>
      <c r="EY14" s="30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31"/>
      <c r="HH14" s="31"/>
      <c r="HI14" s="31"/>
      <c r="HJ14" s="31"/>
      <c r="HK14" s="31"/>
      <c r="HL14" s="31"/>
      <c r="HM14" s="31"/>
      <c r="HN14" s="31"/>
      <c r="HO14" s="31"/>
      <c r="HP14" s="31"/>
      <c r="HQ14" s="31"/>
      <c r="HR14" s="31"/>
      <c r="HS14" s="31"/>
      <c r="HT14" s="31"/>
      <c r="HU14" s="31"/>
      <c r="HV14" s="31"/>
      <c r="HW14" s="31"/>
      <c r="HX14" s="31"/>
      <c r="HY14" s="31"/>
      <c r="HZ14" s="31"/>
      <c r="IA14" s="31"/>
      <c r="IB14" s="31"/>
      <c r="IC14" s="31"/>
      <c r="ID14" s="31"/>
      <c r="IE14" s="31"/>
      <c r="IF14" s="31"/>
      <c r="IG14" s="31"/>
      <c r="IH14" s="31"/>
      <c r="II14" s="31"/>
      <c r="IJ14" s="31"/>
      <c r="IK14" s="31"/>
      <c r="IL14" s="31"/>
      <c r="IM14" s="31"/>
      <c r="IN14" s="31"/>
      <c r="IO14" s="31"/>
      <c r="IP14" s="31"/>
      <c r="IQ14" s="31"/>
      <c r="IR14" s="31"/>
      <c r="IS14" s="31"/>
      <c r="IT14" s="31"/>
      <c r="IU14" s="31"/>
      <c r="IV14" s="31"/>
      <c r="IW14" s="31"/>
      <c r="IX14" s="31"/>
      <c r="IY14" s="31"/>
      <c r="IZ14" s="31"/>
      <c r="JA14" s="31"/>
      <c r="JB14" s="31"/>
      <c r="JC14" s="31"/>
      <c r="JD14" s="31"/>
      <c r="JE14" s="31"/>
      <c r="JF14" s="31"/>
      <c r="JG14" s="31"/>
      <c r="JH14" s="31"/>
      <c r="JI14" s="31"/>
      <c r="JJ14" s="31"/>
      <c r="JK14" s="31"/>
      <c r="JL14" s="31"/>
      <c r="JM14" s="31"/>
    </row>
    <row r="15" spans="1:274" s="32" customFormat="1" ht="25.5" x14ac:dyDescent="0.35">
      <c r="A15" s="24"/>
      <c r="B15" s="24"/>
      <c r="C15" s="24">
        <v>25</v>
      </c>
      <c r="D15" s="25" t="s">
        <v>289</v>
      </c>
      <c r="E15" s="72"/>
      <c r="F15" s="67">
        <v>0</v>
      </c>
      <c r="G15" s="26">
        <f t="shared" si="79"/>
        <v>0</v>
      </c>
      <c r="H15" s="27">
        <f t="shared" si="34"/>
        <v>0</v>
      </c>
      <c r="I15" s="27">
        <f t="shared" si="35"/>
        <v>0</v>
      </c>
      <c r="J15" s="67">
        <v>9</v>
      </c>
      <c r="K15" s="26">
        <f t="shared" si="80"/>
        <v>623</v>
      </c>
      <c r="L15" s="27">
        <f t="shared" si="36"/>
        <v>1.4446227929373997E-2</v>
      </c>
      <c r="M15" s="27">
        <f t="shared" si="1"/>
        <v>0.13059390048154093</v>
      </c>
      <c r="N15" s="67">
        <v>14</v>
      </c>
      <c r="O15" s="26">
        <f t="shared" si="81"/>
        <v>370</v>
      </c>
      <c r="P15" s="27">
        <f t="shared" si="37"/>
        <v>3.783783783783784E-2</v>
      </c>
      <c r="Q15" s="27">
        <f t="shared" si="2"/>
        <v>0.34205405405405404</v>
      </c>
      <c r="R15" s="67">
        <v>13</v>
      </c>
      <c r="S15" s="26">
        <f t="shared" si="82"/>
        <v>580</v>
      </c>
      <c r="T15" s="27">
        <f t="shared" si="38"/>
        <v>2.2413793103448276E-2</v>
      </c>
      <c r="U15" s="27">
        <f t="shared" si="3"/>
        <v>0.20262068965517238</v>
      </c>
      <c r="V15" s="67">
        <v>12</v>
      </c>
      <c r="W15" s="26">
        <f t="shared" si="83"/>
        <v>300</v>
      </c>
      <c r="X15" s="27">
        <f t="shared" si="39"/>
        <v>0.04</v>
      </c>
      <c r="Y15" s="27">
        <f t="shared" si="4"/>
        <v>0.36159999999999998</v>
      </c>
      <c r="Z15" s="67">
        <v>0</v>
      </c>
      <c r="AA15" s="26">
        <f t="shared" si="84"/>
        <v>0</v>
      </c>
      <c r="AB15" s="27">
        <f t="shared" si="40"/>
        <v>0</v>
      </c>
      <c r="AC15" s="27">
        <f t="shared" si="5"/>
        <v>0</v>
      </c>
      <c r="AD15" s="67">
        <v>6</v>
      </c>
      <c r="AE15" s="26">
        <f t="shared" si="85"/>
        <v>448</v>
      </c>
      <c r="AF15" s="27">
        <f t="shared" si="71"/>
        <v>1.3392857142857142E-2</v>
      </c>
      <c r="AG15" s="27">
        <f t="shared" si="72"/>
        <v>0.12107142857142855</v>
      </c>
      <c r="AH15" s="67">
        <v>16</v>
      </c>
      <c r="AI15" s="26">
        <f t="shared" si="86"/>
        <v>400</v>
      </c>
      <c r="AJ15" s="27">
        <f t="shared" si="41"/>
        <v>0.04</v>
      </c>
      <c r="AK15" s="27">
        <f t="shared" si="8"/>
        <v>0.36159999999999998</v>
      </c>
      <c r="AL15" s="67">
        <v>10</v>
      </c>
      <c r="AM15" s="26">
        <f t="shared" si="87"/>
        <v>347</v>
      </c>
      <c r="AN15" s="27">
        <f t="shared" si="42"/>
        <v>2.8818443804034581E-2</v>
      </c>
      <c r="AO15" s="27">
        <f t="shared" si="9"/>
        <v>0.26051873198847258</v>
      </c>
      <c r="AP15" s="66">
        <v>7</v>
      </c>
      <c r="AQ15" s="26">
        <f t="shared" si="88"/>
        <v>473</v>
      </c>
      <c r="AR15" s="27">
        <f t="shared" si="43"/>
        <v>1.4799154334038054E-2</v>
      </c>
      <c r="AS15" s="27">
        <f t="shared" si="10"/>
        <v>0.133784355179704</v>
      </c>
      <c r="AT15" s="67">
        <v>14</v>
      </c>
      <c r="AU15" s="26">
        <f t="shared" si="89"/>
        <v>432</v>
      </c>
      <c r="AV15" s="27">
        <f t="shared" si="44"/>
        <v>3.2407407407407406E-2</v>
      </c>
      <c r="AW15" s="27">
        <f t="shared" si="11"/>
        <v>0.29296296296296293</v>
      </c>
      <c r="AX15" s="67">
        <v>13</v>
      </c>
      <c r="AY15" s="26">
        <f t="shared" si="90"/>
        <v>550</v>
      </c>
      <c r="AZ15" s="27">
        <f t="shared" si="45"/>
        <v>2.3636363636363636E-2</v>
      </c>
      <c r="BA15" s="27">
        <f t="shared" si="12"/>
        <v>0.21367272727272724</v>
      </c>
      <c r="BB15" s="67">
        <v>24</v>
      </c>
      <c r="BC15" s="26">
        <f t="shared" si="91"/>
        <v>670</v>
      </c>
      <c r="BD15" s="27">
        <f t="shared" si="46"/>
        <v>3.5820895522388062E-2</v>
      </c>
      <c r="BE15" s="27">
        <f t="shared" si="13"/>
        <v>0.32382089552238807</v>
      </c>
      <c r="BF15" s="67">
        <v>7</v>
      </c>
      <c r="BG15" s="26">
        <f t="shared" si="92"/>
        <v>260</v>
      </c>
      <c r="BH15" s="27">
        <f t="shared" si="47"/>
        <v>2.6923076923076925E-2</v>
      </c>
      <c r="BI15" s="27">
        <f t="shared" si="14"/>
        <v>0.24338461538461537</v>
      </c>
      <c r="BJ15" s="67">
        <v>12</v>
      </c>
      <c r="BK15" s="26">
        <f t="shared" si="93"/>
        <v>711</v>
      </c>
      <c r="BL15" s="27">
        <f t="shared" si="48"/>
        <v>1.6877637130801686E-2</v>
      </c>
      <c r="BM15" s="27">
        <f t="shared" si="15"/>
        <v>0.15257383966244722</v>
      </c>
      <c r="BN15" s="67">
        <v>25</v>
      </c>
      <c r="BO15" s="26">
        <f t="shared" si="94"/>
        <v>749</v>
      </c>
      <c r="BP15" s="27">
        <f t="shared" si="49"/>
        <v>3.3377837116154871E-2</v>
      </c>
      <c r="BQ15" s="27">
        <f t="shared" si="16"/>
        <v>0.30173564753004001</v>
      </c>
      <c r="BR15" s="67">
        <v>7</v>
      </c>
      <c r="BS15" s="26">
        <f t="shared" si="95"/>
        <v>192</v>
      </c>
      <c r="BT15" s="27">
        <f t="shared" si="50"/>
        <v>3.6458333333333336E-2</v>
      </c>
      <c r="BU15" s="27">
        <f t="shared" si="17"/>
        <v>0.32958333333333334</v>
      </c>
      <c r="BV15" s="67">
        <v>10</v>
      </c>
      <c r="BW15" s="26">
        <f t="shared" si="96"/>
        <v>560</v>
      </c>
      <c r="BX15" s="27">
        <f t="shared" si="51"/>
        <v>1.7857142857142856E-2</v>
      </c>
      <c r="BY15" s="27">
        <f t="shared" si="18"/>
        <v>0.16142857142857139</v>
      </c>
      <c r="BZ15" s="67">
        <v>19</v>
      </c>
      <c r="CA15" s="26">
        <f t="shared" si="97"/>
        <v>804</v>
      </c>
      <c r="CB15" s="27">
        <f t="shared" si="52"/>
        <v>2.36318407960199E-2</v>
      </c>
      <c r="CC15" s="27">
        <f t="shared" si="19"/>
        <v>0.21363184079601988</v>
      </c>
      <c r="CD15" s="67">
        <v>3</v>
      </c>
      <c r="CE15" s="26">
        <f t="shared" si="98"/>
        <v>821</v>
      </c>
      <c r="CF15" s="27">
        <f t="shared" si="53"/>
        <v>3.6540803897685747E-3</v>
      </c>
      <c r="CG15" s="27">
        <f t="shared" si="20"/>
        <v>3.3032886723507911E-2</v>
      </c>
      <c r="CH15" s="66">
        <v>0</v>
      </c>
      <c r="CI15" s="26">
        <f t="shared" si="99"/>
        <v>0</v>
      </c>
      <c r="CJ15" s="27">
        <f t="shared" si="54"/>
        <v>0</v>
      </c>
      <c r="CK15" s="27">
        <f t="shared" si="21"/>
        <v>0</v>
      </c>
      <c r="CL15" s="58">
        <v>16</v>
      </c>
      <c r="CM15" s="26">
        <f t="shared" si="100"/>
        <v>635</v>
      </c>
      <c r="CN15" s="27">
        <f t="shared" si="55"/>
        <v>2.5196850393700787E-2</v>
      </c>
      <c r="CO15" s="27">
        <f t="shared" si="22"/>
        <v>0.22777952755905509</v>
      </c>
      <c r="CP15" s="8">
        <v>5</v>
      </c>
      <c r="CQ15" s="26">
        <f t="shared" si="101"/>
        <v>271</v>
      </c>
      <c r="CR15" s="27">
        <f t="shared" si="56"/>
        <v>1.8450184501845018E-2</v>
      </c>
      <c r="CS15" s="27">
        <f t="shared" si="23"/>
        <v>0.16678966789667896</v>
      </c>
      <c r="CT15" s="8">
        <v>14</v>
      </c>
      <c r="CU15" s="26">
        <f t="shared" si="102"/>
        <v>150</v>
      </c>
      <c r="CV15" s="27">
        <f t="shared" si="57"/>
        <v>9.3333333333333338E-2</v>
      </c>
      <c r="CW15" s="27">
        <f t="shared" si="24"/>
        <v>0.84373333333333334</v>
      </c>
      <c r="CX15" s="8">
        <v>6</v>
      </c>
      <c r="CY15" s="26">
        <f t="shared" si="103"/>
        <v>130</v>
      </c>
      <c r="CZ15" s="27">
        <f t="shared" si="58"/>
        <v>4.6153846153846156E-2</v>
      </c>
      <c r="DA15" s="27">
        <f t="shared" si="25"/>
        <v>0.41723076923076924</v>
      </c>
      <c r="DB15" s="63">
        <v>4</v>
      </c>
      <c r="DC15" s="26">
        <f t="shared" si="104"/>
        <v>442</v>
      </c>
      <c r="DD15" s="27">
        <f t="shared" si="59"/>
        <v>9.0497737556561094E-3</v>
      </c>
      <c r="DE15" s="27">
        <f t="shared" si="26"/>
        <v>8.1809954751131217E-2</v>
      </c>
      <c r="DF15" s="8">
        <v>10</v>
      </c>
      <c r="DG15" s="26">
        <f t="shared" si="105"/>
        <v>550</v>
      </c>
      <c r="DH15" s="27">
        <f t="shared" si="60"/>
        <v>1.8181818181818181E-2</v>
      </c>
      <c r="DI15" s="27">
        <f t="shared" si="27"/>
        <v>0.16436363636363635</v>
      </c>
      <c r="DJ15" s="8">
        <v>9</v>
      </c>
      <c r="DK15" s="26">
        <f t="shared" si="106"/>
        <v>130</v>
      </c>
      <c r="DL15" s="27">
        <f t="shared" si="61"/>
        <v>6.9230769230769235E-2</v>
      </c>
      <c r="DM15" s="27">
        <f t="shared" si="28"/>
        <v>0.62584615384615383</v>
      </c>
      <c r="DN15" s="8">
        <v>10</v>
      </c>
      <c r="DO15" s="26">
        <f t="shared" si="107"/>
        <v>740</v>
      </c>
      <c r="DP15" s="27">
        <f t="shared" si="62"/>
        <v>1.3513513513513514E-2</v>
      </c>
      <c r="DQ15" s="27">
        <f t="shared" si="29"/>
        <v>0.12216216216216216</v>
      </c>
      <c r="DR15" s="8">
        <v>18</v>
      </c>
      <c r="DS15" s="26">
        <f t="shared" si="108"/>
        <v>340</v>
      </c>
      <c r="DT15" s="27">
        <f t="shared" si="63"/>
        <v>5.2941176470588235E-2</v>
      </c>
      <c r="DU15" s="27">
        <f t="shared" si="30"/>
        <v>0.47858823529411759</v>
      </c>
      <c r="DV15" s="8"/>
      <c r="DW15" s="26">
        <f t="shared" si="109"/>
        <v>0</v>
      </c>
      <c r="DX15" s="27">
        <f t="shared" si="73"/>
        <v>0</v>
      </c>
      <c r="DY15" s="27">
        <f t="shared" si="74"/>
        <v>0</v>
      </c>
      <c r="DZ15" s="28">
        <f t="shared" si="75"/>
        <v>313</v>
      </c>
      <c r="EA15" s="28">
        <f t="shared" si="76"/>
        <v>12230</v>
      </c>
      <c r="EB15" s="33">
        <f t="shared" si="77"/>
        <v>2.5592804578904334E-2</v>
      </c>
      <c r="EC15" s="33">
        <f t="shared" si="78"/>
        <v>0.23135895339329515</v>
      </c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30"/>
      <c r="EU15" s="30"/>
      <c r="EV15" s="30"/>
      <c r="EW15" s="30"/>
      <c r="EX15" s="30"/>
      <c r="EY15" s="30"/>
      <c r="EZ15" s="31"/>
      <c r="FA15" s="31"/>
      <c r="FB15" s="31"/>
      <c r="FC15" s="31"/>
      <c r="FD15" s="31"/>
      <c r="FE15" s="31"/>
      <c r="FF15" s="31"/>
      <c r="FG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31"/>
      <c r="GC15" s="31"/>
      <c r="GD15" s="31"/>
      <c r="GE15" s="31"/>
      <c r="GF15" s="31"/>
      <c r="GG15" s="31"/>
      <c r="GH15" s="31"/>
      <c r="GI15" s="31"/>
      <c r="GJ15" s="31"/>
      <c r="GK15" s="31"/>
      <c r="GL15" s="31"/>
      <c r="GM15" s="31"/>
      <c r="GN15" s="31"/>
      <c r="GO15" s="31"/>
      <c r="GP15" s="31"/>
      <c r="GQ15" s="31"/>
      <c r="GR15" s="31"/>
      <c r="GS15" s="31"/>
      <c r="GT15" s="31"/>
      <c r="GU15" s="31"/>
      <c r="GV15" s="31"/>
      <c r="GW15" s="31"/>
      <c r="GX15" s="31"/>
      <c r="GY15" s="31"/>
      <c r="GZ15" s="31"/>
      <c r="HA15" s="31"/>
      <c r="HB15" s="31"/>
      <c r="HC15" s="31"/>
      <c r="HD15" s="31"/>
      <c r="HE15" s="31"/>
      <c r="HF15" s="31"/>
      <c r="HG15" s="31"/>
      <c r="HH15" s="31"/>
      <c r="HI15" s="31"/>
      <c r="HJ15" s="31"/>
      <c r="HK15" s="31"/>
      <c r="HL15" s="31"/>
      <c r="HM15" s="31"/>
      <c r="HN15" s="31"/>
      <c r="HO15" s="31"/>
      <c r="HP15" s="31"/>
      <c r="HQ15" s="31"/>
      <c r="HR15" s="31"/>
      <c r="HS15" s="31"/>
      <c r="HT15" s="31"/>
      <c r="HU15" s="31"/>
      <c r="HV15" s="31"/>
      <c r="HW15" s="31"/>
      <c r="HX15" s="31"/>
      <c r="HY15" s="31"/>
      <c r="HZ15" s="31"/>
      <c r="IA15" s="31"/>
      <c r="IB15" s="31"/>
      <c r="IC15" s="31"/>
      <c r="ID15" s="31"/>
      <c r="IE15" s="31"/>
      <c r="IF15" s="31"/>
      <c r="IG15" s="31"/>
      <c r="IH15" s="31"/>
      <c r="II15" s="31"/>
      <c r="IJ15" s="31"/>
      <c r="IK15" s="31"/>
      <c r="IL15" s="31"/>
      <c r="IM15" s="31"/>
      <c r="IN15" s="31"/>
      <c r="IO15" s="31"/>
      <c r="IP15" s="31"/>
      <c r="IQ15" s="31"/>
      <c r="IR15" s="31"/>
      <c r="IS15" s="31"/>
      <c r="IT15" s="31"/>
      <c r="IU15" s="31"/>
      <c r="IV15" s="31"/>
      <c r="IW15" s="31"/>
      <c r="IX15" s="31"/>
      <c r="IY15" s="31"/>
      <c r="IZ15" s="31"/>
      <c r="JA15" s="31"/>
      <c r="JB15" s="31"/>
      <c r="JC15" s="31"/>
      <c r="JD15" s="31"/>
      <c r="JE15" s="31"/>
      <c r="JF15" s="31"/>
      <c r="JG15" s="31"/>
      <c r="JH15" s="31"/>
      <c r="JI15" s="31"/>
      <c r="JJ15" s="31"/>
      <c r="JK15" s="31"/>
      <c r="JL15" s="31"/>
      <c r="JM15" s="31"/>
    </row>
    <row r="16" spans="1:274" s="32" customFormat="1" ht="25.5" x14ac:dyDescent="0.35">
      <c r="A16" s="24"/>
      <c r="B16" s="24"/>
      <c r="C16" s="24">
        <v>26</v>
      </c>
      <c r="D16" s="25" t="s">
        <v>290</v>
      </c>
      <c r="E16" s="72"/>
      <c r="F16" s="67">
        <v>0</v>
      </c>
      <c r="G16" s="26">
        <f t="shared" si="79"/>
        <v>0</v>
      </c>
      <c r="H16" s="27">
        <f t="shared" si="34"/>
        <v>0</v>
      </c>
      <c r="I16" s="27">
        <f t="shared" si="35"/>
        <v>0</v>
      </c>
      <c r="J16" s="67">
        <v>0</v>
      </c>
      <c r="K16" s="26">
        <f t="shared" si="80"/>
        <v>623</v>
      </c>
      <c r="L16" s="27">
        <f t="shared" si="36"/>
        <v>0</v>
      </c>
      <c r="M16" s="27">
        <f t="shared" si="1"/>
        <v>0</v>
      </c>
      <c r="N16" s="67">
        <v>0</v>
      </c>
      <c r="O16" s="26">
        <f t="shared" si="81"/>
        <v>370</v>
      </c>
      <c r="P16" s="27">
        <f t="shared" si="37"/>
        <v>0</v>
      </c>
      <c r="Q16" s="27">
        <f t="shared" si="2"/>
        <v>0</v>
      </c>
      <c r="R16" s="67">
        <v>5</v>
      </c>
      <c r="S16" s="26">
        <f t="shared" si="82"/>
        <v>580</v>
      </c>
      <c r="T16" s="27">
        <f t="shared" si="38"/>
        <v>8.6206896551724137E-3</v>
      </c>
      <c r="U16" s="27">
        <f t="shared" si="3"/>
        <v>7.7931034482758607E-2</v>
      </c>
      <c r="V16" s="67">
        <v>8</v>
      </c>
      <c r="W16" s="26">
        <f t="shared" si="83"/>
        <v>300</v>
      </c>
      <c r="X16" s="27">
        <f t="shared" si="39"/>
        <v>2.6666666666666668E-2</v>
      </c>
      <c r="Y16" s="27">
        <f t="shared" si="4"/>
        <v>0.24106666666666665</v>
      </c>
      <c r="Z16" s="67">
        <v>0</v>
      </c>
      <c r="AA16" s="26">
        <f t="shared" si="84"/>
        <v>0</v>
      </c>
      <c r="AB16" s="27">
        <f t="shared" si="40"/>
        <v>0</v>
      </c>
      <c r="AC16" s="27">
        <f t="shared" si="5"/>
        <v>0</v>
      </c>
      <c r="AD16" s="67">
        <v>0</v>
      </c>
      <c r="AE16" s="26">
        <f t="shared" si="85"/>
        <v>448</v>
      </c>
      <c r="AF16" s="27">
        <f t="shared" si="71"/>
        <v>0</v>
      </c>
      <c r="AG16" s="27">
        <f t="shared" si="72"/>
        <v>0</v>
      </c>
      <c r="AH16" s="67">
        <v>0</v>
      </c>
      <c r="AI16" s="26">
        <f t="shared" si="86"/>
        <v>400</v>
      </c>
      <c r="AJ16" s="27">
        <f t="shared" si="41"/>
        <v>0</v>
      </c>
      <c r="AK16" s="27">
        <f t="shared" si="8"/>
        <v>0</v>
      </c>
      <c r="AL16" s="67">
        <v>5</v>
      </c>
      <c r="AM16" s="26">
        <f t="shared" si="87"/>
        <v>347</v>
      </c>
      <c r="AN16" s="27">
        <f t="shared" si="42"/>
        <v>1.4409221902017291E-2</v>
      </c>
      <c r="AO16" s="27">
        <f t="shared" si="9"/>
        <v>0.13025936599423629</v>
      </c>
      <c r="AP16" s="66">
        <v>8</v>
      </c>
      <c r="AQ16" s="26">
        <f t="shared" si="88"/>
        <v>473</v>
      </c>
      <c r="AR16" s="27">
        <f t="shared" si="43"/>
        <v>1.6913319238900635E-2</v>
      </c>
      <c r="AS16" s="27">
        <f t="shared" si="10"/>
        <v>0.15289640591966172</v>
      </c>
      <c r="AT16" s="67">
        <v>8</v>
      </c>
      <c r="AU16" s="26">
        <f t="shared" si="89"/>
        <v>432</v>
      </c>
      <c r="AV16" s="27">
        <f t="shared" si="44"/>
        <v>1.8518518518518517E-2</v>
      </c>
      <c r="AW16" s="27">
        <f t="shared" si="11"/>
        <v>0.16740740740740739</v>
      </c>
      <c r="AX16" s="67">
        <v>0</v>
      </c>
      <c r="AY16" s="26">
        <f t="shared" si="90"/>
        <v>550</v>
      </c>
      <c r="AZ16" s="27">
        <f t="shared" si="45"/>
        <v>0</v>
      </c>
      <c r="BA16" s="27">
        <f t="shared" si="12"/>
        <v>0</v>
      </c>
      <c r="BB16" s="67">
        <v>16</v>
      </c>
      <c r="BC16" s="26">
        <f t="shared" si="91"/>
        <v>670</v>
      </c>
      <c r="BD16" s="27">
        <f t="shared" si="46"/>
        <v>2.3880597014925373E-2</v>
      </c>
      <c r="BE16" s="27">
        <f t="shared" si="13"/>
        <v>0.21588059701492535</v>
      </c>
      <c r="BF16" s="67">
        <v>2</v>
      </c>
      <c r="BG16" s="26">
        <f t="shared" si="92"/>
        <v>260</v>
      </c>
      <c r="BH16" s="27">
        <f t="shared" si="47"/>
        <v>7.6923076923076927E-3</v>
      </c>
      <c r="BI16" s="27">
        <f t="shared" si="14"/>
        <v>6.9538461538461535E-2</v>
      </c>
      <c r="BJ16" s="67">
        <v>9</v>
      </c>
      <c r="BK16" s="26">
        <f t="shared" si="93"/>
        <v>711</v>
      </c>
      <c r="BL16" s="27">
        <f t="shared" si="48"/>
        <v>1.2658227848101266E-2</v>
      </c>
      <c r="BM16" s="27">
        <f t="shared" si="15"/>
        <v>0.11443037974683543</v>
      </c>
      <c r="BN16" s="67">
        <v>8</v>
      </c>
      <c r="BO16" s="26">
        <f t="shared" si="94"/>
        <v>749</v>
      </c>
      <c r="BP16" s="27">
        <f t="shared" si="49"/>
        <v>1.0680907877169559E-2</v>
      </c>
      <c r="BQ16" s="27">
        <f t="shared" si="16"/>
        <v>9.6555407209612809E-2</v>
      </c>
      <c r="BR16" s="67">
        <v>7</v>
      </c>
      <c r="BS16" s="26">
        <f t="shared" si="95"/>
        <v>192</v>
      </c>
      <c r="BT16" s="27">
        <f t="shared" si="50"/>
        <v>3.6458333333333336E-2</v>
      </c>
      <c r="BU16" s="27">
        <f t="shared" si="17"/>
        <v>0.32958333333333334</v>
      </c>
      <c r="BV16" s="67">
        <v>8</v>
      </c>
      <c r="BW16" s="26">
        <f t="shared" si="96"/>
        <v>560</v>
      </c>
      <c r="BX16" s="27">
        <f t="shared" si="51"/>
        <v>1.4285714285714285E-2</v>
      </c>
      <c r="BY16" s="27">
        <f t="shared" si="18"/>
        <v>0.12914285714285711</v>
      </c>
      <c r="BZ16" s="67">
        <v>8</v>
      </c>
      <c r="CA16" s="26">
        <f t="shared" si="97"/>
        <v>804</v>
      </c>
      <c r="CB16" s="27">
        <f t="shared" si="52"/>
        <v>9.9502487562189053E-3</v>
      </c>
      <c r="CC16" s="27">
        <f t="shared" si="19"/>
        <v>8.995024875621889E-2</v>
      </c>
      <c r="CD16" s="67">
        <v>8</v>
      </c>
      <c r="CE16" s="26">
        <f t="shared" si="98"/>
        <v>821</v>
      </c>
      <c r="CF16" s="27">
        <f t="shared" si="53"/>
        <v>9.7442143727161992E-3</v>
      </c>
      <c r="CG16" s="27">
        <f t="shared" si="20"/>
        <v>8.8087697929354433E-2</v>
      </c>
      <c r="CH16" s="66">
        <v>0</v>
      </c>
      <c r="CI16" s="26">
        <f t="shared" si="99"/>
        <v>0</v>
      </c>
      <c r="CJ16" s="27">
        <f t="shared" si="54"/>
        <v>0</v>
      </c>
      <c r="CK16" s="27">
        <f t="shared" si="21"/>
        <v>0</v>
      </c>
      <c r="CL16" s="58">
        <v>7</v>
      </c>
      <c r="CM16" s="26">
        <f t="shared" si="100"/>
        <v>635</v>
      </c>
      <c r="CN16" s="27">
        <f t="shared" si="55"/>
        <v>1.1023622047244094E-2</v>
      </c>
      <c r="CO16" s="27">
        <f t="shared" si="22"/>
        <v>9.9653543307086603E-2</v>
      </c>
      <c r="CP16" s="8">
        <v>8</v>
      </c>
      <c r="CQ16" s="26">
        <f t="shared" si="101"/>
        <v>271</v>
      </c>
      <c r="CR16" s="27">
        <f t="shared" si="56"/>
        <v>2.9520295202952029E-2</v>
      </c>
      <c r="CS16" s="27">
        <f t="shared" si="23"/>
        <v>0.2668634686346863</v>
      </c>
      <c r="CT16" s="8">
        <v>8</v>
      </c>
      <c r="CU16" s="26">
        <f t="shared" si="102"/>
        <v>150</v>
      </c>
      <c r="CV16" s="27">
        <f t="shared" si="57"/>
        <v>5.3333333333333337E-2</v>
      </c>
      <c r="CW16" s="27">
        <f t="shared" si="24"/>
        <v>0.4821333333333333</v>
      </c>
      <c r="CX16" s="8">
        <v>7</v>
      </c>
      <c r="CY16" s="26">
        <f t="shared" si="103"/>
        <v>130</v>
      </c>
      <c r="CZ16" s="27">
        <f t="shared" si="58"/>
        <v>5.3846153846153849E-2</v>
      </c>
      <c r="DA16" s="27">
        <f t="shared" si="25"/>
        <v>0.48676923076923073</v>
      </c>
      <c r="DB16" s="63">
        <v>8</v>
      </c>
      <c r="DC16" s="26">
        <f t="shared" si="104"/>
        <v>442</v>
      </c>
      <c r="DD16" s="27">
        <f t="shared" si="59"/>
        <v>1.8099547511312219E-2</v>
      </c>
      <c r="DE16" s="27">
        <f t="shared" si="26"/>
        <v>0.16361990950226243</v>
      </c>
      <c r="DF16" s="8">
        <v>8</v>
      </c>
      <c r="DG16" s="26">
        <f t="shared" si="105"/>
        <v>550</v>
      </c>
      <c r="DH16" s="27">
        <f t="shared" si="60"/>
        <v>1.4545454545454545E-2</v>
      </c>
      <c r="DI16" s="27">
        <f t="shared" si="27"/>
        <v>0.13149090909090907</v>
      </c>
      <c r="DJ16" s="8">
        <v>2</v>
      </c>
      <c r="DK16" s="26">
        <f t="shared" si="106"/>
        <v>130</v>
      </c>
      <c r="DL16" s="27">
        <f t="shared" si="61"/>
        <v>1.5384615384615385E-2</v>
      </c>
      <c r="DM16" s="27">
        <f t="shared" si="28"/>
        <v>0.13907692307692307</v>
      </c>
      <c r="DN16" s="8">
        <v>8</v>
      </c>
      <c r="DO16" s="26">
        <f t="shared" si="107"/>
        <v>740</v>
      </c>
      <c r="DP16" s="27">
        <f t="shared" si="62"/>
        <v>1.0810810810810811E-2</v>
      </c>
      <c r="DQ16" s="27">
        <f t="shared" si="29"/>
        <v>9.7729729729729722E-2</v>
      </c>
      <c r="DR16" s="8">
        <v>13</v>
      </c>
      <c r="DS16" s="26">
        <f t="shared" si="108"/>
        <v>340</v>
      </c>
      <c r="DT16" s="27">
        <f t="shared" si="63"/>
        <v>3.8235294117647062E-2</v>
      </c>
      <c r="DU16" s="27">
        <f t="shared" si="30"/>
        <v>0.34564705882352942</v>
      </c>
      <c r="DV16" s="8"/>
      <c r="DW16" s="26">
        <f t="shared" si="109"/>
        <v>0</v>
      </c>
      <c r="DX16" s="27">
        <f t="shared" si="73"/>
        <v>0</v>
      </c>
      <c r="DY16" s="27">
        <f t="shared" si="74"/>
        <v>0</v>
      </c>
      <c r="DZ16" s="28">
        <f t="shared" si="75"/>
        <v>169</v>
      </c>
      <c r="EA16" s="28">
        <f t="shared" si="76"/>
        <v>12230</v>
      </c>
      <c r="EB16" s="33">
        <f t="shared" si="77"/>
        <v>1.3818479149632053E-2</v>
      </c>
      <c r="EC16" s="33">
        <f t="shared" si="78"/>
        <v>0.12491905151267375</v>
      </c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30"/>
      <c r="EU16" s="30"/>
      <c r="EV16" s="30"/>
      <c r="EW16" s="30"/>
      <c r="EX16" s="30"/>
      <c r="EY16" s="30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  <c r="GW16" s="31"/>
      <c r="GX16" s="31"/>
      <c r="GY16" s="31"/>
      <c r="GZ16" s="31"/>
      <c r="HA16" s="31"/>
      <c r="HB16" s="31"/>
      <c r="HC16" s="31"/>
      <c r="HD16" s="31"/>
      <c r="HE16" s="31"/>
      <c r="HF16" s="31"/>
      <c r="HG16" s="31"/>
      <c r="HH16" s="31"/>
      <c r="HI16" s="31"/>
      <c r="HJ16" s="31"/>
      <c r="HK16" s="31"/>
      <c r="HL16" s="31"/>
      <c r="HM16" s="31"/>
      <c r="HN16" s="31"/>
      <c r="HO16" s="31"/>
      <c r="HP16" s="31"/>
      <c r="HQ16" s="31"/>
      <c r="HR16" s="31"/>
      <c r="HS16" s="31"/>
      <c r="HT16" s="31"/>
      <c r="HU16" s="31"/>
      <c r="HV16" s="31"/>
      <c r="HW16" s="31"/>
      <c r="HX16" s="31"/>
      <c r="HY16" s="31"/>
      <c r="HZ16" s="31"/>
      <c r="IA16" s="31"/>
      <c r="IB16" s="31"/>
      <c r="IC16" s="31"/>
      <c r="ID16" s="31"/>
      <c r="IE16" s="31"/>
      <c r="IF16" s="31"/>
      <c r="IG16" s="31"/>
      <c r="IH16" s="31"/>
      <c r="II16" s="31"/>
      <c r="IJ16" s="31"/>
      <c r="IK16" s="31"/>
      <c r="IL16" s="31"/>
      <c r="IM16" s="31"/>
      <c r="IN16" s="31"/>
      <c r="IO16" s="31"/>
      <c r="IP16" s="31"/>
      <c r="IQ16" s="31"/>
      <c r="IR16" s="31"/>
      <c r="IS16" s="31"/>
      <c r="IT16" s="31"/>
      <c r="IU16" s="31"/>
      <c r="IV16" s="31"/>
      <c r="IW16" s="31"/>
      <c r="IX16" s="31"/>
      <c r="IY16" s="31"/>
      <c r="IZ16" s="31"/>
      <c r="JA16" s="31"/>
      <c r="JB16" s="31"/>
      <c r="JC16" s="31"/>
      <c r="JD16" s="31"/>
      <c r="JE16" s="31"/>
      <c r="JF16" s="31"/>
      <c r="JG16" s="31"/>
      <c r="JH16" s="31"/>
      <c r="JI16" s="31"/>
      <c r="JJ16" s="31"/>
      <c r="JK16" s="31"/>
      <c r="JL16" s="31"/>
      <c r="JM16" s="31"/>
    </row>
    <row r="17" spans="1:273" s="43" customFormat="1" ht="25.5" x14ac:dyDescent="0.35">
      <c r="A17" s="24"/>
      <c r="B17" s="24"/>
      <c r="C17" s="24">
        <v>27</v>
      </c>
      <c r="D17" s="25" t="s">
        <v>291</v>
      </c>
      <c r="E17" s="72"/>
      <c r="F17" s="67">
        <v>0</v>
      </c>
      <c r="G17" s="26">
        <f t="shared" si="79"/>
        <v>0</v>
      </c>
      <c r="H17" s="27">
        <f t="shared" si="34"/>
        <v>0</v>
      </c>
      <c r="I17" s="27">
        <f t="shared" si="35"/>
        <v>0</v>
      </c>
      <c r="J17" s="67">
        <v>16</v>
      </c>
      <c r="K17" s="26">
        <f t="shared" si="80"/>
        <v>623</v>
      </c>
      <c r="L17" s="27">
        <f t="shared" si="36"/>
        <v>2.5682182985553772E-2</v>
      </c>
      <c r="M17" s="27">
        <f t="shared" si="1"/>
        <v>0.23216693418940607</v>
      </c>
      <c r="N17" s="67">
        <v>13</v>
      </c>
      <c r="O17" s="26">
        <f t="shared" si="81"/>
        <v>370</v>
      </c>
      <c r="P17" s="27">
        <f t="shared" si="37"/>
        <v>3.5135135135135137E-2</v>
      </c>
      <c r="Q17" s="27">
        <f t="shared" si="2"/>
        <v>0.31762162162162161</v>
      </c>
      <c r="R17" s="67">
        <v>19</v>
      </c>
      <c r="S17" s="26">
        <f t="shared" si="82"/>
        <v>580</v>
      </c>
      <c r="T17" s="27">
        <f t="shared" si="38"/>
        <v>3.2758620689655175E-2</v>
      </c>
      <c r="U17" s="27">
        <f t="shared" si="3"/>
        <v>0.29613793103448277</v>
      </c>
      <c r="V17" s="67">
        <v>21</v>
      </c>
      <c r="W17" s="26">
        <f t="shared" si="83"/>
        <v>300</v>
      </c>
      <c r="X17" s="27">
        <f t="shared" si="39"/>
        <v>7.0000000000000007E-2</v>
      </c>
      <c r="Y17" s="27">
        <f t="shared" si="4"/>
        <v>0.63280000000000003</v>
      </c>
      <c r="Z17" s="67">
        <v>0</v>
      </c>
      <c r="AA17" s="26">
        <f t="shared" si="84"/>
        <v>0</v>
      </c>
      <c r="AB17" s="27">
        <f t="shared" si="40"/>
        <v>0</v>
      </c>
      <c r="AC17" s="27">
        <f t="shared" si="5"/>
        <v>0</v>
      </c>
      <c r="AD17" s="67">
        <v>3</v>
      </c>
      <c r="AE17" s="26">
        <f t="shared" si="85"/>
        <v>448</v>
      </c>
      <c r="AF17" s="27">
        <f t="shared" si="71"/>
        <v>6.6964285714285711E-3</v>
      </c>
      <c r="AG17" s="27">
        <f t="shared" si="72"/>
        <v>6.0535714285714276E-2</v>
      </c>
      <c r="AH17" s="67">
        <v>9</v>
      </c>
      <c r="AI17" s="26">
        <f t="shared" si="86"/>
        <v>400</v>
      </c>
      <c r="AJ17" s="27">
        <f t="shared" si="41"/>
        <v>2.2499999999999999E-2</v>
      </c>
      <c r="AK17" s="27">
        <f t="shared" si="8"/>
        <v>0.20339999999999997</v>
      </c>
      <c r="AL17" s="67">
        <v>11</v>
      </c>
      <c r="AM17" s="26">
        <f t="shared" si="87"/>
        <v>347</v>
      </c>
      <c r="AN17" s="27">
        <f t="shared" si="42"/>
        <v>3.1700288184438041E-2</v>
      </c>
      <c r="AO17" s="27">
        <f t="shared" si="9"/>
        <v>0.28657060518731986</v>
      </c>
      <c r="AP17" s="66">
        <v>16</v>
      </c>
      <c r="AQ17" s="26">
        <f t="shared" si="88"/>
        <v>473</v>
      </c>
      <c r="AR17" s="27">
        <f t="shared" si="43"/>
        <v>3.382663847780127E-2</v>
      </c>
      <c r="AS17" s="27">
        <f t="shared" si="10"/>
        <v>0.30579281183932344</v>
      </c>
      <c r="AT17" s="67">
        <v>12</v>
      </c>
      <c r="AU17" s="26">
        <f t="shared" si="89"/>
        <v>432</v>
      </c>
      <c r="AV17" s="27">
        <f t="shared" si="44"/>
        <v>2.7777777777777776E-2</v>
      </c>
      <c r="AW17" s="27">
        <f t="shared" si="11"/>
        <v>0.25111111111111106</v>
      </c>
      <c r="AX17" s="67">
        <v>6</v>
      </c>
      <c r="AY17" s="26">
        <f t="shared" si="90"/>
        <v>550</v>
      </c>
      <c r="AZ17" s="27">
        <f t="shared" si="45"/>
        <v>1.090909090909091E-2</v>
      </c>
      <c r="BA17" s="27">
        <f t="shared" si="12"/>
        <v>9.8618181818181813E-2</v>
      </c>
      <c r="BB17" s="67">
        <v>15</v>
      </c>
      <c r="BC17" s="26">
        <f t="shared" si="91"/>
        <v>670</v>
      </c>
      <c r="BD17" s="27">
        <f t="shared" si="46"/>
        <v>2.2388059701492536E-2</v>
      </c>
      <c r="BE17" s="27">
        <f t="shared" si="13"/>
        <v>0.20238805970149251</v>
      </c>
      <c r="BF17" s="67">
        <v>10</v>
      </c>
      <c r="BG17" s="26">
        <f t="shared" si="92"/>
        <v>260</v>
      </c>
      <c r="BH17" s="27">
        <f t="shared" si="47"/>
        <v>3.8461538461538464E-2</v>
      </c>
      <c r="BI17" s="27">
        <f t="shared" si="14"/>
        <v>0.34769230769230769</v>
      </c>
      <c r="BJ17" s="67">
        <v>8</v>
      </c>
      <c r="BK17" s="26">
        <f t="shared" si="93"/>
        <v>711</v>
      </c>
      <c r="BL17" s="27">
        <f t="shared" si="48"/>
        <v>1.1251758087201125E-2</v>
      </c>
      <c r="BM17" s="27">
        <f t="shared" si="15"/>
        <v>0.10171589310829816</v>
      </c>
      <c r="BN17" s="67">
        <v>18</v>
      </c>
      <c r="BO17" s="26">
        <f t="shared" si="94"/>
        <v>749</v>
      </c>
      <c r="BP17" s="27">
        <f t="shared" si="49"/>
        <v>2.4032042723631509E-2</v>
      </c>
      <c r="BQ17" s="27">
        <f t="shared" si="16"/>
        <v>0.21724966622162881</v>
      </c>
      <c r="BR17" s="66">
        <v>23</v>
      </c>
      <c r="BS17" s="26">
        <f t="shared" si="95"/>
        <v>192</v>
      </c>
      <c r="BT17" s="27">
        <f t="shared" si="50"/>
        <v>0.11979166666666667</v>
      </c>
      <c r="BU17" s="27">
        <f t="shared" si="17"/>
        <v>1.0829166666666665</v>
      </c>
      <c r="BV17" s="67">
        <v>14</v>
      </c>
      <c r="BW17" s="26">
        <f t="shared" si="96"/>
        <v>560</v>
      </c>
      <c r="BX17" s="27">
        <f t="shared" si="51"/>
        <v>2.5000000000000001E-2</v>
      </c>
      <c r="BY17" s="27">
        <f t="shared" si="18"/>
        <v>0.22599999999999998</v>
      </c>
      <c r="BZ17" s="67">
        <v>13</v>
      </c>
      <c r="CA17" s="26">
        <f t="shared" si="97"/>
        <v>804</v>
      </c>
      <c r="CB17" s="27">
        <f t="shared" si="52"/>
        <v>1.6169154228855721E-2</v>
      </c>
      <c r="CC17" s="27">
        <f t="shared" si="19"/>
        <v>0.14616915422885571</v>
      </c>
      <c r="CD17" s="67">
        <v>22</v>
      </c>
      <c r="CE17" s="26">
        <f t="shared" si="98"/>
        <v>821</v>
      </c>
      <c r="CF17" s="27">
        <f t="shared" si="53"/>
        <v>2.679658952496955E-2</v>
      </c>
      <c r="CG17" s="27">
        <f t="shared" si="20"/>
        <v>0.2422411693057247</v>
      </c>
      <c r="CH17" s="66">
        <v>1</v>
      </c>
      <c r="CI17" s="26">
        <f t="shared" si="99"/>
        <v>0</v>
      </c>
      <c r="CJ17" s="27">
        <f t="shared" si="54"/>
        <v>0</v>
      </c>
      <c r="CK17" s="27">
        <f t="shared" si="21"/>
        <v>0</v>
      </c>
      <c r="CL17" s="58">
        <v>14</v>
      </c>
      <c r="CM17" s="26">
        <f t="shared" si="100"/>
        <v>635</v>
      </c>
      <c r="CN17" s="27">
        <f t="shared" si="55"/>
        <v>2.2047244094488189E-2</v>
      </c>
      <c r="CO17" s="27">
        <f t="shared" si="22"/>
        <v>0.19930708661417321</v>
      </c>
      <c r="CP17" s="8">
        <v>9</v>
      </c>
      <c r="CQ17" s="26">
        <f t="shared" si="101"/>
        <v>271</v>
      </c>
      <c r="CR17" s="27">
        <f t="shared" si="56"/>
        <v>3.3210332103321034E-2</v>
      </c>
      <c r="CS17" s="27">
        <f t="shared" si="23"/>
        <v>0.3002214022140221</v>
      </c>
      <c r="CT17" s="8">
        <v>24</v>
      </c>
      <c r="CU17" s="26">
        <f t="shared" si="102"/>
        <v>150</v>
      </c>
      <c r="CV17" s="27">
        <f t="shared" si="57"/>
        <v>0.16</v>
      </c>
      <c r="CW17" s="27">
        <f t="shared" si="24"/>
        <v>1.4463999999999999</v>
      </c>
      <c r="CX17" s="8">
        <v>13</v>
      </c>
      <c r="CY17" s="26">
        <f t="shared" si="103"/>
        <v>130</v>
      </c>
      <c r="CZ17" s="27">
        <f t="shared" si="58"/>
        <v>0.1</v>
      </c>
      <c r="DA17" s="27">
        <f t="shared" si="25"/>
        <v>0.90399999999999991</v>
      </c>
      <c r="DB17" s="63">
        <v>13</v>
      </c>
      <c r="DC17" s="26">
        <f t="shared" si="104"/>
        <v>442</v>
      </c>
      <c r="DD17" s="27">
        <f t="shared" si="59"/>
        <v>2.9411764705882353E-2</v>
      </c>
      <c r="DE17" s="27">
        <f t="shared" si="26"/>
        <v>0.26588235294117646</v>
      </c>
      <c r="DF17" s="8">
        <v>13</v>
      </c>
      <c r="DG17" s="26">
        <f t="shared" si="105"/>
        <v>550</v>
      </c>
      <c r="DH17" s="27">
        <f t="shared" si="60"/>
        <v>2.3636363636363636E-2</v>
      </c>
      <c r="DI17" s="27">
        <f t="shared" si="27"/>
        <v>0.21367272727272724</v>
      </c>
      <c r="DJ17" s="8">
        <v>10</v>
      </c>
      <c r="DK17" s="26">
        <f t="shared" si="106"/>
        <v>130</v>
      </c>
      <c r="DL17" s="27">
        <f t="shared" si="61"/>
        <v>7.6923076923076927E-2</v>
      </c>
      <c r="DM17" s="27">
        <f t="shared" si="28"/>
        <v>0.69538461538461538</v>
      </c>
      <c r="DN17" s="8">
        <v>15</v>
      </c>
      <c r="DO17" s="26">
        <f t="shared" si="107"/>
        <v>740</v>
      </c>
      <c r="DP17" s="27">
        <f t="shared" si="62"/>
        <v>2.0270270270270271E-2</v>
      </c>
      <c r="DQ17" s="27">
        <f t="shared" si="29"/>
        <v>0.18324324324324323</v>
      </c>
      <c r="DR17" s="8">
        <v>8</v>
      </c>
      <c r="DS17" s="26">
        <f t="shared" si="108"/>
        <v>340</v>
      </c>
      <c r="DT17" s="27">
        <f t="shared" si="63"/>
        <v>2.3529411764705882E-2</v>
      </c>
      <c r="DU17" s="27">
        <f t="shared" si="30"/>
        <v>0.21270588235294116</v>
      </c>
      <c r="DV17" s="8"/>
      <c r="DW17" s="26">
        <f t="shared" si="109"/>
        <v>0</v>
      </c>
      <c r="DX17" s="27">
        <f t="shared" si="73"/>
        <v>0</v>
      </c>
      <c r="DY17" s="27">
        <f t="shared" si="74"/>
        <v>0</v>
      </c>
      <c r="DZ17" s="28">
        <f t="shared" si="75"/>
        <v>369</v>
      </c>
      <c r="EA17" s="28">
        <f t="shared" si="76"/>
        <v>12230</v>
      </c>
      <c r="EB17" s="33">
        <f t="shared" si="77"/>
        <v>3.0171708912510222E-2</v>
      </c>
      <c r="EC17" s="33">
        <f t="shared" si="78"/>
        <v>0.27275224856909236</v>
      </c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2"/>
      <c r="EO17" s="42"/>
      <c r="EP17" s="42"/>
      <c r="EQ17" s="42"/>
      <c r="ER17" s="42"/>
      <c r="ES17" s="42"/>
      <c r="ET17" s="42"/>
      <c r="EU17" s="42"/>
      <c r="EV17" s="42"/>
      <c r="EW17" s="42"/>
      <c r="EX17" s="42"/>
      <c r="EY17" s="42"/>
      <c r="EZ17" s="42"/>
      <c r="FA17" s="42"/>
      <c r="FB17" s="42"/>
      <c r="FC17" s="42"/>
      <c r="FD17" s="42"/>
      <c r="FE17" s="42"/>
      <c r="FF17" s="42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  <c r="GG17" s="42"/>
      <c r="GH17" s="42"/>
      <c r="GI17" s="42"/>
      <c r="GJ17" s="42"/>
      <c r="GK17" s="42"/>
      <c r="GL17" s="42"/>
      <c r="GM17" s="42"/>
      <c r="GN17" s="42"/>
      <c r="GO17" s="42"/>
      <c r="GP17" s="42"/>
      <c r="GQ17" s="42"/>
      <c r="GR17" s="42"/>
      <c r="GS17" s="42"/>
      <c r="GT17" s="42"/>
      <c r="GU17" s="42"/>
      <c r="GV17" s="42"/>
      <c r="GW17" s="42"/>
      <c r="GX17" s="42"/>
      <c r="GY17" s="42"/>
      <c r="GZ17" s="42"/>
      <c r="HA17" s="42"/>
      <c r="HB17" s="42"/>
      <c r="HC17" s="42"/>
      <c r="HD17" s="42"/>
      <c r="HE17" s="42"/>
      <c r="HF17" s="42"/>
      <c r="HG17" s="42"/>
      <c r="HH17" s="42"/>
      <c r="HI17" s="42"/>
      <c r="HJ17" s="42"/>
      <c r="HK17" s="42"/>
      <c r="HL17" s="42"/>
      <c r="HM17" s="42"/>
      <c r="HN17" s="42"/>
      <c r="HO17" s="42"/>
      <c r="HP17" s="42"/>
      <c r="HQ17" s="42"/>
      <c r="HR17" s="42"/>
      <c r="HS17" s="42"/>
      <c r="HT17" s="42"/>
      <c r="HU17" s="42"/>
      <c r="HV17" s="42"/>
      <c r="HW17" s="42"/>
      <c r="HX17" s="42"/>
      <c r="HY17" s="42"/>
      <c r="HZ17" s="42"/>
      <c r="IA17" s="42"/>
      <c r="IB17" s="42"/>
      <c r="IC17" s="42"/>
      <c r="ID17" s="42"/>
      <c r="IE17" s="42"/>
      <c r="IF17" s="42"/>
      <c r="IG17" s="42"/>
      <c r="IH17" s="42"/>
      <c r="II17" s="42"/>
      <c r="IJ17" s="42"/>
      <c r="IK17" s="42"/>
      <c r="IL17" s="42"/>
      <c r="IM17" s="42"/>
      <c r="IN17" s="42"/>
      <c r="IO17" s="42"/>
      <c r="IP17" s="42"/>
      <c r="IQ17" s="42"/>
      <c r="IR17" s="42"/>
      <c r="IS17" s="42"/>
      <c r="IT17" s="42"/>
      <c r="IU17" s="42"/>
      <c r="IV17" s="42"/>
      <c r="IW17" s="42"/>
      <c r="IX17" s="42"/>
      <c r="IY17" s="42"/>
      <c r="IZ17" s="42"/>
      <c r="JA17" s="42"/>
      <c r="JB17" s="42"/>
      <c r="JC17" s="42"/>
      <c r="JD17" s="42"/>
      <c r="JE17" s="42"/>
      <c r="JF17" s="42"/>
      <c r="JG17" s="42"/>
      <c r="JH17" s="42"/>
      <c r="JI17" s="42"/>
      <c r="JJ17" s="42"/>
      <c r="JK17" s="42"/>
      <c r="JL17" s="42"/>
      <c r="JM17" s="42"/>
    </row>
    <row r="18" spans="1:273" s="32" customFormat="1" ht="25.5" x14ac:dyDescent="0.35">
      <c r="A18" s="24"/>
      <c r="B18" s="24"/>
      <c r="C18" s="24">
        <v>9</v>
      </c>
      <c r="D18" s="25" t="s">
        <v>322</v>
      </c>
      <c r="E18" s="34"/>
      <c r="F18" s="66">
        <v>9</v>
      </c>
      <c r="G18" s="26">
        <f>'Production data'!B6</f>
        <v>0</v>
      </c>
      <c r="H18" s="27">
        <f t="shared" si="34"/>
        <v>0</v>
      </c>
      <c r="I18" s="27">
        <f>H18*9.04</f>
        <v>0</v>
      </c>
      <c r="J18" s="66">
        <v>413</v>
      </c>
      <c r="K18" s="26">
        <f>'Production data'!C6</f>
        <v>1028</v>
      </c>
      <c r="L18" s="27">
        <f t="shared" si="36"/>
        <v>0.40175097276264593</v>
      </c>
      <c r="M18" s="27">
        <f>L18*9.04</f>
        <v>3.6318287937743188</v>
      </c>
      <c r="N18" s="66">
        <v>272</v>
      </c>
      <c r="O18" s="26">
        <f>'Production data'!D6</f>
        <v>672</v>
      </c>
      <c r="P18" s="27">
        <f t="shared" si="37"/>
        <v>0.40476190476190477</v>
      </c>
      <c r="Q18" s="27">
        <f>P18*9.04</f>
        <v>3.6590476190476187</v>
      </c>
      <c r="R18" s="66">
        <v>284</v>
      </c>
      <c r="S18" s="26">
        <f>'Production data'!E6</f>
        <v>796</v>
      </c>
      <c r="T18" s="27">
        <f t="shared" si="38"/>
        <v>0.35678391959798994</v>
      </c>
      <c r="U18" s="27">
        <f>T18*9.04</f>
        <v>3.2253266331658286</v>
      </c>
      <c r="V18" s="66">
        <v>245</v>
      </c>
      <c r="W18" s="26">
        <f>'Production data'!F6</f>
        <v>646</v>
      </c>
      <c r="X18" s="27">
        <f t="shared" si="39"/>
        <v>0.37925696594427244</v>
      </c>
      <c r="Y18" s="27">
        <f>X18*9.04</f>
        <v>3.4284829721362224</v>
      </c>
      <c r="Z18" s="66">
        <v>52</v>
      </c>
      <c r="AA18" s="26">
        <f>'Production data'!G6</f>
        <v>0</v>
      </c>
      <c r="AB18" s="27">
        <f t="shared" si="40"/>
        <v>0</v>
      </c>
      <c r="AC18" s="27">
        <f>AB18*9.04</f>
        <v>0</v>
      </c>
      <c r="AD18" s="66">
        <v>156</v>
      </c>
      <c r="AE18" s="26">
        <f>'Production data'!H6</f>
        <v>504</v>
      </c>
      <c r="AF18" s="27">
        <f t="shared" si="71"/>
        <v>0.30952380952380953</v>
      </c>
      <c r="AG18" s="27">
        <f t="shared" si="72"/>
        <v>2.7980952380952377</v>
      </c>
      <c r="AH18" s="67">
        <v>364</v>
      </c>
      <c r="AI18" s="26">
        <f>'Production data'!I6</f>
        <v>726</v>
      </c>
      <c r="AJ18" s="27">
        <f t="shared" si="41"/>
        <v>0.50137741046831952</v>
      </c>
      <c r="AK18" s="27">
        <f>AJ18*9.04</f>
        <v>4.5324517906336084</v>
      </c>
      <c r="AL18" s="67">
        <v>333</v>
      </c>
      <c r="AM18" s="26">
        <f>'Production data'!J6</f>
        <v>796</v>
      </c>
      <c r="AN18" s="27">
        <f t="shared" si="42"/>
        <v>0.41834170854271358</v>
      </c>
      <c r="AO18" s="27">
        <f>AN18*9.04</f>
        <v>3.7818090452261304</v>
      </c>
      <c r="AP18" s="66">
        <v>191</v>
      </c>
      <c r="AQ18" s="26">
        <f>'Production data'!K6</f>
        <v>472</v>
      </c>
      <c r="AR18" s="27">
        <f t="shared" si="43"/>
        <v>0.40466101694915252</v>
      </c>
      <c r="AS18" s="27">
        <f>AR18*9.04</f>
        <v>3.6581355932203383</v>
      </c>
      <c r="AT18" s="67">
        <v>275</v>
      </c>
      <c r="AU18" s="26">
        <f>'Production data'!L6</f>
        <v>554</v>
      </c>
      <c r="AV18" s="27">
        <f t="shared" si="44"/>
        <v>0.49638989169675091</v>
      </c>
      <c r="AW18" s="27">
        <f>AV18*9.04</f>
        <v>4.487364620938628</v>
      </c>
      <c r="AX18" s="66">
        <v>176</v>
      </c>
      <c r="AY18" s="26">
        <f>'Production data'!M6</f>
        <v>392</v>
      </c>
      <c r="AZ18" s="27">
        <f t="shared" si="45"/>
        <v>0.44897959183673469</v>
      </c>
      <c r="BA18" s="27">
        <f>AZ18*9.04</f>
        <v>4.0587755102040814</v>
      </c>
      <c r="BB18" s="66">
        <v>473</v>
      </c>
      <c r="BC18" s="26">
        <f>'Production data'!N6</f>
        <v>1202</v>
      </c>
      <c r="BD18" s="27">
        <f t="shared" si="46"/>
        <v>0.39351081530782028</v>
      </c>
      <c r="BE18" s="27">
        <f>BD18*9.04</f>
        <v>3.5573377703826949</v>
      </c>
      <c r="BF18" s="66">
        <v>164</v>
      </c>
      <c r="BG18" s="26">
        <f>'Production data'!O6</f>
        <v>366</v>
      </c>
      <c r="BH18" s="27">
        <f t="shared" si="47"/>
        <v>0.44808743169398907</v>
      </c>
      <c r="BI18" s="27">
        <f>BH18*9.04</f>
        <v>4.0507103825136612</v>
      </c>
      <c r="BJ18" s="66">
        <v>242</v>
      </c>
      <c r="BK18" s="26">
        <f>'Production data'!P6</f>
        <v>541</v>
      </c>
      <c r="BL18" s="27">
        <f t="shared" si="48"/>
        <v>0.44731977818853974</v>
      </c>
      <c r="BM18" s="27">
        <f>BL18*9.04</f>
        <v>4.0437707948243986</v>
      </c>
      <c r="BN18" s="66">
        <v>459</v>
      </c>
      <c r="BO18" s="26">
        <f>'Production data'!Q6</f>
        <v>1123</v>
      </c>
      <c r="BP18" s="27">
        <f t="shared" si="49"/>
        <v>0.40872662511130897</v>
      </c>
      <c r="BQ18" s="27">
        <f>BP18*9.04</f>
        <v>3.6948886910062329</v>
      </c>
      <c r="BR18" s="66">
        <v>343</v>
      </c>
      <c r="BS18" s="26">
        <f>'Production data'!R6</f>
        <v>652</v>
      </c>
      <c r="BT18" s="27">
        <f t="shared" si="50"/>
        <v>0.5260736196319018</v>
      </c>
      <c r="BU18" s="27">
        <f>BT18*9.04</f>
        <v>4.7557055214723922</v>
      </c>
      <c r="BV18" s="66">
        <v>387</v>
      </c>
      <c r="BW18" s="26">
        <f>'Production data'!S6</f>
        <v>1002</v>
      </c>
      <c r="BX18" s="27">
        <f t="shared" si="51"/>
        <v>0.38622754491017963</v>
      </c>
      <c r="BY18" s="27">
        <f>BX18*9.04</f>
        <v>3.4914970059880237</v>
      </c>
      <c r="BZ18" s="66">
        <v>448</v>
      </c>
      <c r="CA18" s="26">
        <f>'Production data'!T6</f>
        <v>1092</v>
      </c>
      <c r="CB18" s="27">
        <f t="shared" si="52"/>
        <v>0.41025641025641024</v>
      </c>
      <c r="CC18" s="27">
        <f>CB18*9.04</f>
        <v>3.7087179487179482</v>
      </c>
      <c r="CD18" s="66">
        <v>187</v>
      </c>
      <c r="CE18" s="26">
        <f>'Production data'!U6</f>
        <v>462</v>
      </c>
      <c r="CF18" s="27">
        <f t="shared" si="53"/>
        <v>0.40476190476190477</v>
      </c>
      <c r="CG18" s="27">
        <f>CF18*9.04</f>
        <v>3.6590476190476187</v>
      </c>
      <c r="CH18" s="66">
        <v>3</v>
      </c>
      <c r="CI18" s="26">
        <f>'Production data'!V6</f>
        <v>0</v>
      </c>
      <c r="CJ18" s="27">
        <f t="shared" si="54"/>
        <v>0</v>
      </c>
      <c r="CK18" s="27">
        <f>CJ18*9.04</f>
        <v>0</v>
      </c>
      <c r="CL18" s="58">
        <v>428</v>
      </c>
      <c r="CM18" s="26">
        <f>'Production data'!W6</f>
        <v>1068</v>
      </c>
      <c r="CN18" s="27">
        <f t="shared" si="55"/>
        <v>0.40074906367041196</v>
      </c>
      <c r="CO18" s="27">
        <f>CN18*9.04</f>
        <v>3.6227715355805237</v>
      </c>
      <c r="CP18" s="8">
        <v>315</v>
      </c>
      <c r="CQ18" s="26">
        <f>'Production data'!X6</f>
        <v>487</v>
      </c>
      <c r="CR18" s="27">
        <f t="shared" si="56"/>
        <v>0.64681724845995892</v>
      </c>
      <c r="CS18" s="27">
        <f>CR18*9.04</f>
        <v>5.8472279260780278</v>
      </c>
      <c r="CT18" s="8">
        <v>532</v>
      </c>
      <c r="CU18" s="26">
        <f>'Production data'!Y6</f>
        <v>1376</v>
      </c>
      <c r="CV18" s="27">
        <f t="shared" si="57"/>
        <v>0.38662790697674421</v>
      </c>
      <c r="CW18" s="27">
        <f>CV18*9.04</f>
        <v>3.4951162790697672</v>
      </c>
      <c r="CX18" s="8">
        <v>250</v>
      </c>
      <c r="CY18" s="26">
        <f>'Production data'!Z6</f>
        <v>576</v>
      </c>
      <c r="CZ18" s="27">
        <f t="shared" si="58"/>
        <v>0.43402777777777779</v>
      </c>
      <c r="DA18" s="27">
        <f>CZ18*9.04</f>
        <v>3.9236111111111107</v>
      </c>
      <c r="DB18" s="63">
        <v>232</v>
      </c>
      <c r="DC18" s="26">
        <f>'Production data'!AA6</f>
        <v>622</v>
      </c>
      <c r="DD18" s="27">
        <f t="shared" si="59"/>
        <v>0.37299035369774919</v>
      </c>
      <c r="DE18" s="27">
        <f>DD18*9.04</f>
        <v>3.3718327974276523</v>
      </c>
      <c r="DF18" s="8">
        <v>315</v>
      </c>
      <c r="DG18" s="26">
        <f>'Production data'!AB6</f>
        <v>710</v>
      </c>
      <c r="DH18" s="27">
        <f t="shared" si="60"/>
        <v>0.44366197183098594</v>
      </c>
      <c r="DI18" s="27">
        <f>DH18*9.04</f>
        <v>4.0107042253521126</v>
      </c>
      <c r="DJ18" s="8">
        <v>200</v>
      </c>
      <c r="DK18" s="26">
        <f>'Production data'!AC6</f>
        <v>1022</v>
      </c>
      <c r="DL18" s="27">
        <f t="shared" si="61"/>
        <v>0.19569471624266144</v>
      </c>
      <c r="DM18" s="27">
        <f>DL18*9.04</f>
        <v>1.7690802348336592</v>
      </c>
      <c r="DN18" s="8">
        <v>486</v>
      </c>
      <c r="DO18" s="26">
        <f>'Production data'!AD6</f>
        <v>599</v>
      </c>
      <c r="DP18" s="27">
        <f t="shared" si="62"/>
        <v>0.81135225375626041</v>
      </c>
      <c r="DQ18" s="27">
        <f>DP18*9.04</f>
        <v>7.3346243739565935</v>
      </c>
      <c r="DR18" s="8">
        <v>299</v>
      </c>
      <c r="DS18" s="26">
        <f>'Production data'!AE6</f>
        <v>774</v>
      </c>
      <c r="DT18" s="27">
        <f t="shared" si="63"/>
        <v>0.3863049095607235</v>
      </c>
      <c r="DU18" s="27">
        <f>DT18*9.04</f>
        <v>3.4921963824289399</v>
      </c>
      <c r="DV18" s="8"/>
      <c r="DW18" s="26">
        <f>'Production data'!AF6</f>
        <v>0</v>
      </c>
      <c r="DX18" s="27">
        <f t="shared" si="73"/>
        <v>0</v>
      </c>
      <c r="DY18" s="27">
        <f>DX18*9.04</f>
        <v>0</v>
      </c>
      <c r="DZ18" s="28">
        <f t="shared" si="75"/>
        <v>8533</v>
      </c>
      <c r="EA18" s="28">
        <f t="shared" si="76"/>
        <v>19756</v>
      </c>
      <c r="EB18" s="33">
        <f t="shared" si="77"/>
        <v>0.43191941688600932</v>
      </c>
      <c r="EC18" s="33">
        <f t="shared" si="78"/>
        <v>3.9045515286495238</v>
      </c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30"/>
      <c r="EU18" s="30"/>
      <c r="EV18" s="30"/>
      <c r="EW18" s="30"/>
      <c r="EX18" s="30"/>
      <c r="EY18" s="30"/>
      <c r="EZ18" s="31"/>
      <c r="FA18" s="31"/>
      <c r="FB18" s="31"/>
      <c r="FC18" s="31"/>
      <c r="FD18" s="31"/>
      <c r="FE18" s="31"/>
      <c r="FF18" s="31"/>
      <c r="FG18" s="31"/>
      <c r="FH18" s="31"/>
      <c r="FI18" s="31"/>
      <c r="FJ18" s="31"/>
      <c r="FK18" s="31"/>
      <c r="FL18" s="31"/>
      <c r="FM18" s="31"/>
      <c r="FN18" s="31"/>
      <c r="FO18" s="31"/>
      <c r="FP18" s="31"/>
      <c r="FQ18" s="31"/>
      <c r="FR18" s="31"/>
      <c r="FS18" s="31"/>
      <c r="FT18" s="31"/>
      <c r="FU18" s="31"/>
      <c r="FV18" s="31"/>
      <c r="FW18" s="31"/>
      <c r="FX18" s="31"/>
      <c r="FY18" s="31"/>
      <c r="FZ18" s="31"/>
      <c r="GA18" s="31"/>
      <c r="GB18" s="31"/>
      <c r="GC18" s="31"/>
      <c r="GD18" s="31"/>
      <c r="GE18" s="31"/>
      <c r="GF18" s="31"/>
      <c r="GG18" s="31"/>
      <c r="GH18" s="31"/>
      <c r="GI18" s="31"/>
      <c r="GJ18" s="31"/>
      <c r="GK18" s="31"/>
      <c r="GL18" s="31"/>
      <c r="GM18" s="31"/>
      <c r="GN18" s="31"/>
      <c r="GO18" s="31"/>
      <c r="GP18" s="31"/>
      <c r="GQ18" s="31"/>
      <c r="GR18" s="31"/>
      <c r="GS18" s="31"/>
      <c r="GT18" s="31"/>
      <c r="GU18" s="31"/>
      <c r="GV18" s="31"/>
      <c r="GW18" s="31"/>
      <c r="GX18" s="31"/>
      <c r="GY18" s="31"/>
      <c r="GZ18" s="31"/>
      <c r="HA18" s="31"/>
      <c r="HB18" s="31"/>
      <c r="HC18" s="31"/>
      <c r="HD18" s="31"/>
      <c r="HE18" s="31"/>
      <c r="HF18" s="31"/>
      <c r="HG18" s="31"/>
      <c r="HH18" s="31"/>
      <c r="HI18" s="31"/>
      <c r="HJ18" s="31"/>
      <c r="HK18" s="31"/>
      <c r="HL18" s="31"/>
      <c r="HM18" s="31"/>
      <c r="HN18" s="31"/>
      <c r="HO18" s="31"/>
      <c r="HP18" s="31"/>
      <c r="HQ18" s="31"/>
      <c r="HR18" s="31"/>
      <c r="HS18" s="31"/>
      <c r="HT18" s="31"/>
      <c r="HU18" s="31"/>
      <c r="HV18" s="31"/>
      <c r="HW18" s="31"/>
      <c r="HX18" s="31"/>
      <c r="HY18" s="31"/>
      <c r="HZ18" s="31"/>
      <c r="IA18" s="31"/>
      <c r="IB18" s="31"/>
      <c r="IC18" s="31"/>
      <c r="ID18" s="31"/>
      <c r="IE18" s="31"/>
      <c r="IF18" s="31"/>
      <c r="IG18" s="31"/>
      <c r="IH18" s="31"/>
      <c r="II18" s="31"/>
      <c r="IJ18" s="31"/>
      <c r="IK18" s="31"/>
      <c r="IL18" s="31"/>
      <c r="IM18" s="31"/>
      <c r="IN18" s="31"/>
      <c r="IO18" s="31"/>
      <c r="IP18" s="31"/>
      <c r="IQ18" s="31"/>
      <c r="IR18" s="31"/>
      <c r="IS18" s="31"/>
      <c r="IT18" s="31"/>
      <c r="IU18" s="31"/>
      <c r="IV18" s="31"/>
      <c r="IW18" s="31"/>
      <c r="IX18" s="31"/>
      <c r="IY18" s="31"/>
      <c r="IZ18" s="31"/>
      <c r="JA18" s="31"/>
      <c r="JB18" s="31"/>
      <c r="JC18" s="31"/>
      <c r="JD18" s="31"/>
      <c r="JE18" s="31"/>
      <c r="JF18" s="31"/>
      <c r="JG18" s="31"/>
      <c r="JH18" s="31"/>
      <c r="JI18" s="31"/>
      <c r="JJ18" s="31"/>
      <c r="JK18" s="31"/>
      <c r="JL18" s="31"/>
      <c r="JM18" s="31"/>
    </row>
    <row r="19" spans="1:273" s="32" customFormat="1" ht="25.5" x14ac:dyDescent="0.35">
      <c r="A19" s="24"/>
      <c r="B19" s="24"/>
      <c r="C19" s="24"/>
      <c r="D19" s="35" t="s">
        <v>329</v>
      </c>
      <c r="E19" s="36"/>
      <c r="F19" s="37">
        <f t="shared" ref="F19:AJ19" si="110">SUM(F11:F18)+F4</f>
        <v>12</v>
      </c>
      <c r="G19" s="37">
        <f t="shared" si="110"/>
        <v>0</v>
      </c>
      <c r="H19" s="39">
        <f t="shared" si="110"/>
        <v>0</v>
      </c>
      <c r="I19" s="39">
        <f t="shared" si="110"/>
        <v>0</v>
      </c>
      <c r="J19" s="37">
        <f t="shared" ref="J19" si="111">SUM(J11:J18)+J4</f>
        <v>1001</v>
      </c>
      <c r="K19" s="37">
        <f t="shared" si="110"/>
        <v>6743</v>
      </c>
      <c r="L19" s="39">
        <f t="shared" si="110"/>
        <v>1.1574796390509474</v>
      </c>
      <c r="M19" s="39">
        <f t="shared" si="110"/>
        <v>10.463615937020563</v>
      </c>
      <c r="N19" s="37">
        <f t="shared" ref="N19" si="112">SUM(N11:N18)+N4</f>
        <v>715</v>
      </c>
      <c r="O19" s="37">
        <f t="shared" si="110"/>
        <v>5617</v>
      </c>
      <c r="P19" s="39">
        <f t="shared" si="110"/>
        <v>0.91527105970610001</v>
      </c>
      <c r="Q19" s="39">
        <f t="shared" si="110"/>
        <v>8.2740503797431426</v>
      </c>
      <c r="R19" s="37">
        <f t="shared" ref="R19" si="113">SUM(R11:R18)+R4</f>
        <v>838</v>
      </c>
      <c r="S19" s="37">
        <f t="shared" si="110"/>
        <v>7565</v>
      </c>
      <c r="T19" s="39">
        <f t="shared" si="110"/>
        <v>0.86492457125524735</v>
      </c>
      <c r="U19" s="39">
        <f t="shared" si="110"/>
        <v>7.8189181241474355</v>
      </c>
      <c r="V19" s="37">
        <f t="shared" ref="V19" si="114">SUM(V11:V18)+V4</f>
        <v>754</v>
      </c>
      <c r="W19" s="37">
        <f t="shared" si="110"/>
        <v>5468</v>
      </c>
      <c r="X19" s="39">
        <f t="shared" si="110"/>
        <v>1.0184781293178224</v>
      </c>
      <c r="Y19" s="39">
        <f t="shared" si="110"/>
        <v>9.2070422890331169</v>
      </c>
      <c r="Z19" s="37">
        <f t="shared" ref="Z19" si="115">SUM(Z11:Z18)+Z4</f>
        <v>76</v>
      </c>
      <c r="AA19" s="37">
        <f t="shared" si="110"/>
        <v>0</v>
      </c>
      <c r="AB19" s="39">
        <f t="shared" si="110"/>
        <v>0</v>
      </c>
      <c r="AC19" s="39">
        <f t="shared" si="110"/>
        <v>0</v>
      </c>
      <c r="AD19" s="37">
        <f t="shared" ref="AD19" si="116">SUM(AD11:AD18)+AD4</f>
        <v>556</v>
      </c>
      <c r="AE19" s="37">
        <f t="shared" si="110"/>
        <v>5672</v>
      </c>
      <c r="AF19" s="39">
        <f t="shared" si="110"/>
        <v>0.77943323639888529</v>
      </c>
      <c r="AG19" s="39">
        <f t="shared" si="110"/>
        <v>7.0460764570459213</v>
      </c>
      <c r="AH19" s="37">
        <f t="shared" ref="AH19" si="117">SUM(AH11:AH18)+AH4</f>
        <v>818</v>
      </c>
      <c r="AI19" s="37">
        <f t="shared" si="110"/>
        <v>5370</v>
      </c>
      <c r="AJ19" s="39">
        <f t="shared" si="110"/>
        <v>1.0879976636581041</v>
      </c>
      <c r="AK19" s="39">
        <f t="shared" ref="AK19:BP19" si="118">SUM(AK11:AK18)+AK4</f>
        <v>9.835498879469263</v>
      </c>
      <c r="AL19" s="37">
        <f t="shared" ref="AL19" si="119">SUM(AL11:AL18)+AL4</f>
        <v>834</v>
      </c>
      <c r="AM19" s="37">
        <f t="shared" si="118"/>
        <v>5185</v>
      </c>
      <c r="AN19" s="39">
        <f t="shared" si="118"/>
        <v>1.0728521726891378</v>
      </c>
      <c r="AO19" s="39">
        <f t="shared" si="118"/>
        <v>9.6985836411098045</v>
      </c>
      <c r="AP19" s="37">
        <f t="shared" ref="AP19" si="120">SUM(AP11:AP18)+AP4</f>
        <v>752</v>
      </c>
      <c r="AQ19" s="37">
        <f t="shared" si="118"/>
        <v>4828</v>
      </c>
      <c r="AR19" s="39">
        <f t="shared" si="118"/>
        <v>1.2162186622074189</v>
      </c>
      <c r="AS19" s="39">
        <f t="shared" si="118"/>
        <v>10.994616706355066</v>
      </c>
      <c r="AT19" s="37">
        <f t="shared" ref="AT19" si="121">SUM(AT11:AT18)+AT4</f>
        <v>774</v>
      </c>
      <c r="AU19" s="37">
        <f t="shared" si="118"/>
        <v>5541</v>
      </c>
      <c r="AV19" s="39">
        <f t="shared" si="118"/>
        <v>1.1168631588510527</v>
      </c>
      <c r="AW19" s="39">
        <f t="shared" si="118"/>
        <v>10.096442956013515</v>
      </c>
      <c r="AX19" s="37">
        <f t="shared" ref="AX19" si="122">SUM(AX11:AX18)+AX4</f>
        <v>651</v>
      </c>
      <c r="AY19" s="37">
        <f t="shared" si="118"/>
        <v>5742</v>
      </c>
      <c r="AZ19" s="39">
        <f t="shared" si="118"/>
        <v>1.0071216378048677</v>
      </c>
      <c r="BA19" s="39">
        <f t="shared" si="118"/>
        <v>9.1043796057560034</v>
      </c>
      <c r="BB19" s="37">
        <f t="shared" ref="BB19" si="123">SUM(BB11:BB18)+BB4</f>
        <v>1084</v>
      </c>
      <c r="BC19" s="37">
        <f t="shared" si="118"/>
        <v>7597</v>
      </c>
      <c r="BD19" s="39">
        <f t="shared" si="118"/>
        <v>1.0046973147360378</v>
      </c>
      <c r="BE19" s="39">
        <f t="shared" si="118"/>
        <v>9.0824637252137812</v>
      </c>
      <c r="BF19" s="37">
        <f t="shared" ref="BF19" si="124">SUM(BF11:BF18)+BF4</f>
        <v>451</v>
      </c>
      <c r="BG19" s="37">
        <f t="shared" si="118"/>
        <v>3208</v>
      </c>
      <c r="BH19" s="39">
        <f t="shared" si="118"/>
        <v>1.066586510739943</v>
      </c>
      <c r="BI19" s="39">
        <f t="shared" si="118"/>
        <v>9.6419420570890857</v>
      </c>
      <c r="BJ19" s="37">
        <f t="shared" ref="BJ19" si="125">SUM(BJ11:BJ18)+BJ4</f>
        <v>811</v>
      </c>
      <c r="BK19" s="37">
        <f t="shared" si="118"/>
        <v>7450</v>
      </c>
      <c r="BL19" s="39">
        <f t="shared" si="118"/>
        <v>0.96174885707323932</v>
      </c>
      <c r="BM19" s="39">
        <f t="shared" si="118"/>
        <v>8.6942096679420828</v>
      </c>
      <c r="BN19" s="37">
        <f t="shared" ref="BN19" si="126">SUM(BN11:BN18)+BN4</f>
        <v>1074</v>
      </c>
      <c r="BO19" s="37">
        <f t="shared" si="118"/>
        <v>8740</v>
      </c>
      <c r="BP19" s="39">
        <f t="shared" si="118"/>
        <v>0.92305269196367512</v>
      </c>
      <c r="BQ19" s="39">
        <f t="shared" ref="BQ19:CV19" si="127">SUM(BQ11:BQ18)+BQ4</f>
        <v>8.3443963353516217</v>
      </c>
      <c r="BR19" s="37">
        <f t="shared" ref="BR19" si="128">SUM(BR11:BR18)+BR4</f>
        <v>852</v>
      </c>
      <c r="BS19" s="37">
        <f t="shared" si="127"/>
        <v>4659</v>
      </c>
      <c r="BT19" s="39">
        <f t="shared" si="127"/>
        <v>1.3275461051505959</v>
      </c>
      <c r="BU19" s="39">
        <f t="shared" si="127"/>
        <v>12.001016790561385</v>
      </c>
      <c r="BV19" s="37">
        <f t="shared" ref="BV19" si="129">SUM(BV11:BV18)+BV4</f>
        <v>953</v>
      </c>
      <c r="BW19" s="37">
        <f t="shared" si="127"/>
        <v>6574</v>
      </c>
      <c r="BX19" s="39">
        <f t="shared" si="127"/>
        <v>0.99983102595017281</v>
      </c>
      <c r="BY19" s="39">
        <f t="shared" si="127"/>
        <v>9.038472474589561</v>
      </c>
      <c r="BZ19" s="37">
        <f t="shared" ref="BZ19" si="130">SUM(BZ11:BZ18)+BZ4</f>
        <v>1072</v>
      </c>
      <c r="CA19" s="37">
        <f t="shared" si="127"/>
        <v>8559</v>
      </c>
      <c r="CB19" s="39">
        <f t="shared" si="127"/>
        <v>0.95209855869425675</v>
      </c>
      <c r="CC19" s="39">
        <f t="shared" si="127"/>
        <v>8.6069709705960786</v>
      </c>
      <c r="CD19" s="37">
        <f t="shared" ref="CD19" si="131">SUM(CD11:CD18)+CD4</f>
        <v>705</v>
      </c>
      <c r="CE19" s="37">
        <f t="shared" si="127"/>
        <v>7363</v>
      </c>
      <c r="CF19" s="39">
        <f t="shared" si="127"/>
        <v>0.96400106362008309</v>
      </c>
      <c r="CG19" s="39">
        <f t="shared" si="127"/>
        <v>8.7145696151255496</v>
      </c>
      <c r="CH19" s="37">
        <f t="shared" ref="CH19" si="132">SUM(CH11:CH18)+CH4</f>
        <v>114</v>
      </c>
      <c r="CI19" s="37">
        <f t="shared" si="127"/>
        <v>799</v>
      </c>
      <c r="CJ19" s="39">
        <f t="shared" si="127"/>
        <v>0.12515644555694619</v>
      </c>
      <c r="CK19" s="39">
        <f t="shared" si="127"/>
        <v>1.1314142678347934</v>
      </c>
      <c r="CL19" s="37">
        <f t="shared" ref="CL19" si="133">SUM(CL11:CL18)+CL4</f>
        <v>984</v>
      </c>
      <c r="CM19" s="37">
        <f t="shared" si="127"/>
        <v>7934</v>
      </c>
      <c r="CN19" s="39">
        <f t="shared" si="127"/>
        <v>0.89924549881542126</v>
      </c>
      <c r="CO19" s="39">
        <f t="shared" si="127"/>
        <v>8.1291793092914091</v>
      </c>
      <c r="CP19" s="37">
        <f t="shared" ref="CP19" si="134">SUM(CP11:CP18)+CP4</f>
        <v>785</v>
      </c>
      <c r="CQ19" s="37">
        <f t="shared" si="127"/>
        <v>4435</v>
      </c>
      <c r="CR19" s="39">
        <f t="shared" si="127"/>
        <v>1.3011071761435951</v>
      </c>
      <c r="CS19" s="39">
        <f t="shared" si="127"/>
        <v>11.762008872338098</v>
      </c>
      <c r="CT19" s="37">
        <f t="shared" ref="CT19" si="135">SUM(CT11:CT18)+CT4</f>
        <v>1040</v>
      </c>
      <c r="CU19" s="37">
        <f t="shared" si="127"/>
        <v>4721</v>
      </c>
      <c r="CV19" s="39">
        <f t="shared" si="127"/>
        <v>1.3900224131885559</v>
      </c>
      <c r="CW19" s="39">
        <f t="shared" ref="CW19:EB19" si="136">SUM(CW11:CW18)+CW4</f>
        <v>12.565802615224543</v>
      </c>
      <c r="CX19" s="37">
        <f t="shared" ref="CX19" si="137">SUM(CX11:CX18)+CX4</f>
        <v>696</v>
      </c>
      <c r="CY19" s="37">
        <f t="shared" si="136"/>
        <v>3936</v>
      </c>
      <c r="CZ19" s="39">
        <f t="shared" si="136"/>
        <v>1.2864253640908851</v>
      </c>
      <c r="DA19" s="39">
        <f t="shared" si="136"/>
        <v>11.629285291381599</v>
      </c>
      <c r="DB19" s="37">
        <f t="shared" ref="DB19" si="138">SUM(DB11:DB18)+DB4</f>
        <v>712</v>
      </c>
      <c r="DC19" s="37">
        <f t="shared" si="136"/>
        <v>5874</v>
      </c>
      <c r="DD19" s="39">
        <f t="shared" si="136"/>
        <v>0.9339714897748933</v>
      </c>
      <c r="DE19" s="39">
        <f t="shared" si="136"/>
        <v>8.4431022675650347</v>
      </c>
      <c r="DF19" s="37">
        <f t="shared" ref="DF19" si="139">SUM(DF11:DF18)+DF4</f>
        <v>844</v>
      </c>
      <c r="DG19" s="37">
        <f t="shared" si="136"/>
        <v>6613</v>
      </c>
      <c r="DH19" s="39">
        <f t="shared" si="136"/>
        <v>0.9893525780336343</v>
      </c>
      <c r="DI19" s="39">
        <f t="shared" si="136"/>
        <v>8.9437473054240524</v>
      </c>
      <c r="DJ19" s="37">
        <f t="shared" ref="DJ19" si="140">SUM(DJ11:DJ18)+DJ4</f>
        <v>563</v>
      </c>
      <c r="DK19" s="37">
        <f t="shared" si="136"/>
        <v>4180</v>
      </c>
      <c r="DL19" s="39">
        <f t="shared" si="136"/>
        <v>1.0338278883564158</v>
      </c>
      <c r="DM19" s="39">
        <f t="shared" si="136"/>
        <v>9.3458041107419998</v>
      </c>
      <c r="DN19" s="37">
        <f t="shared" ref="DN19" si="141">SUM(DN11:DN18)+DN4</f>
        <v>1114</v>
      </c>
      <c r="DO19" s="37">
        <f t="shared" si="136"/>
        <v>7209</v>
      </c>
      <c r="DP19" s="39">
        <f t="shared" si="136"/>
        <v>1.4346899967231834</v>
      </c>
      <c r="DQ19" s="39">
        <f t="shared" si="136"/>
        <v>12.969597570377578</v>
      </c>
      <c r="DR19" s="37">
        <f t="shared" ref="DR19" si="142">SUM(DR11:DR18)+DR4</f>
        <v>734</v>
      </c>
      <c r="DS19" s="37">
        <f t="shared" si="136"/>
        <v>3759</v>
      </c>
      <c r="DT19" s="39">
        <f t="shared" si="136"/>
        <v>1.8297688573185376</v>
      </c>
      <c r="DU19" s="39">
        <f t="shared" si="136"/>
        <v>16.54111047015958</v>
      </c>
      <c r="DV19" s="37">
        <f t="shared" ref="DV19" si="143">SUM(DV11:DV18)+DV4</f>
        <v>0</v>
      </c>
      <c r="DW19" s="37">
        <f t="shared" si="136"/>
        <v>0</v>
      </c>
      <c r="DX19" s="39">
        <f t="shared" si="136"/>
        <v>0</v>
      </c>
      <c r="DY19" s="39">
        <f t="shared" si="136"/>
        <v>0</v>
      </c>
      <c r="DZ19" s="37">
        <f t="shared" si="136"/>
        <v>22369</v>
      </c>
      <c r="EA19" s="37">
        <f t="shared" si="136"/>
        <v>155669</v>
      </c>
      <c r="EB19" s="39">
        <f t="shared" si="136"/>
        <v>1.0341422221246941</v>
      </c>
      <c r="EC19" s="39">
        <f t="shared" ref="EC19" si="144">SUM(EC11:EC18)+EC4</f>
        <v>9.3486456880072328</v>
      </c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30"/>
      <c r="EU19" s="30"/>
      <c r="EV19" s="30"/>
      <c r="EW19" s="30"/>
      <c r="EX19" s="30"/>
      <c r="EY19" s="30"/>
      <c r="EZ19" s="31"/>
      <c r="FA19" s="31"/>
      <c r="FB19" s="31"/>
      <c r="FC19" s="31"/>
      <c r="FD19" s="31"/>
      <c r="FE19" s="31"/>
      <c r="FF19" s="31"/>
      <c r="FG19" s="31"/>
      <c r="FH19" s="31"/>
      <c r="FI19" s="31"/>
      <c r="FJ19" s="31"/>
      <c r="FK19" s="31"/>
      <c r="FL19" s="31"/>
      <c r="FM19" s="31"/>
      <c r="FN19" s="31"/>
      <c r="FO19" s="31"/>
      <c r="FP19" s="31"/>
      <c r="FQ19" s="31"/>
      <c r="FR19" s="31"/>
      <c r="FS19" s="31"/>
      <c r="FT19" s="31"/>
      <c r="FU19" s="31"/>
      <c r="FV19" s="31"/>
      <c r="FW19" s="31"/>
      <c r="FX19" s="31"/>
      <c r="FY19" s="31"/>
      <c r="FZ19" s="31"/>
      <c r="GA19" s="31"/>
      <c r="GB19" s="31"/>
      <c r="GC19" s="31"/>
      <c r="GD19" s="31"/>
      <c r="GE19" s="31"/>
      <c r="GF19" s="31"/>
      <c r="GG19" s="31"/>
      <c r="GH19" s="31"/>
      <c r="GI19" s="31"/>
      <c r="GJ19" s="31"/>
      <c r="GK19" s="31"/>
      <c r="GL19" s="31"/>
      <c r="GM19" s="31"/>
      <c r="GN19" s="31"/>
      <c r="GO19" s="31"/>
      <c r="GP19" s="31"/>
      <c r="GQ19" s="31"/>
      <c r="GR19" s="31"/>
      <c r="GS19" s="31"/>
      <c r="GT19" s="31"/>
      <c r="GU19" s="31"/>
      <c r="GV19" s="31"/>
      <c r="GW19" s="31"/>
      <c r="GX19" s="31"/>
      <c r="GY19" s="31"/>
      <c r="GZ19" s="31"/>
      <c r="HA19" s="31"/>
      <c r="HB19" s="31"/>
      <c r="HC19" s="31"/>
      <c r="HD19" s="31"/>
      <c r="HE19" s="31"/>
      <c r="HF19" s="31"/>
      <c r="HG19" s="31"/>
      <c r="HH19" s="31"/>
      <c r="HI19" s="31"/>
      <c r="HJ19" s="31"/>
      <c r="HK19" s="31"/>
      <c r="HL19" s="31"/>
      <c r="HM19" s="31"/>
      <c r="HN19" s="31"/>
      <c r="HO19" s="31"/>
      <c r="HP19" s="31"/>
      <c r="HQ19" s="31"/>
      <c r="HR19" s="31"/>
      <c r="HS19" s="31"/>
      <c r="HT19" s="31"/>
      <c r="HU19" s="31"/>
      <c r="HV19" s="31"/>
      <c r="HW19" s="31"/>
      <c r="HX19" s="31"/>
      <c r="HY19" s="31"/>
      <c r="HZ19" s="31"/>
      <c r="IA19" s="31"/>
      <c r="IB19" s="31"/>
      <c r="IC19" s="31"/>
      <c r="ID19" s="31"/>
      <c r="IE19" s="31"/>
      <c r="IF19" s="31"/>
      <c r="IG19" s="31"/>
      <c r="IH19" s="31"/>
      <c r="II19" s="31"/>
      <c r="IJ19" s="31"/>
      <c r="IK19" s="31"/>
      <c r="IL19" s="31"/>
      <c r="IM19" s="31"/>
      <c r="IN19" s="31"/>
      <c r="IO19" s="31"/>
      <c r="IP19" s="31"/>
      <c r="IQ19" s="31"/>
      <c r="IR19" s="31"/>
      <c r="IS19" s="31"/>
      <c r="IT19" s="31"/>
      <c r="IU19" s="31"/>
      <c r="IV19" s="31"/>
      <c r="IW19" s="31"/>
      <c r="IX19" s="31"/>
      <c r="IY19" s="31"/>
      <c r="IZ19" s="31"/>
      <c r="JA19" s="31"/>
      <c r="JB19" s="31"/>
      <c r="JC19" s="31"/>
      <c r="JD19" s="31"/>
      <c r="JE19" s="31"/>
      <c r="JF19" s="31"/>
      <c r="JG19" s="31"/>
      <c r="JH19" s="31"/>
      <c r="JI19" s="31"/>
      <c r="JJ19" s="31"/>
      <c r="JK19" s="31"/>
      <c r="JL19" s="31"/>
      <c r="JM19" s="31"/>
    </row>
    <row r="20" spans="1:273" s="43" customFormat="1" ht="25.5" x14ac:dyDescent="0.35">
      <c r="A20" s="24"/>
      <c r="B20" s="24"/>
      <c r="C20" s="24"/>
      <c r="D20" s="25" t="s">
        <v>315</v>
      </c>
      <c r="E20" s="72" t="s">
        <v>279</v>
      </c>
      <c r="F20" s="67">
        <v>0</v>
      </c>
      <c r="G20" s="26">
        <f>'Production data'!B7</f>
        <v>0</v>
      </c>
      <c r="H20" s="27">
        <f t="shared" ref="H20" si="145">IF((G20=0),0,F20/G20)</f>
        <v>0</v>
      </c>
      <c r="I20" s="27">
        <f t="shared" ref="I20" si="146">H20*9.04</f>
        <v>0</v>
      </c>
      <c r="J20" s="67">
        <v>13</v>
      </c>
      <c r="K20" s="26">
        <f>'Production data'!C7</f>
        <v>690</v>
      </c>
      <c r="L20" s="27">
        <f t="shared" ref="L20" si="147">IF((K20=0),0,J20/K20)</f>
        <v>1.8840579710144929E-2</v>
      </c>
      <c r="M20" s="27">
        <f t="shared" ref="M20" si="148">L20*9.04</f>
        <v>0.17031884057971014</v>
      </c>
      <c r="N20" s="67">
        <v>11</v>
      </c>
      <c r="O20" s="26">
        <f>'Production data'!D7</f>
        <v>805</v>
      </c>
      <c r="P20" s="27">
        <f t="shared" ref="P20" si="149">IF((O20=0),0,N20/O20)</f>
        <v>1.3664596273291925E-2</v>
      </c>
      <c r="Q20" s="27">
        <f t="shared" ref="Q20" si="150">P20*9.04</f>
        <v>0.12352795031055899</v>
      </c>
      <c r="R20" s="67">
        <v>13</v>
      </c>
      <c r="S20" s="26">
        <f>'Production data'!E7</f>
        <v>700</v>
      </c>
      <c r="T20" s="27">
        <f t="shared" ref="T20" si="151">IF((S20=0),0,R20/S20)</f>
        <v>1.8571428571428572E-2</v>
      </c>
      <c r="U20" s="27">
        <f t="shared" ref="U20" si="152">T20*9.04</f>
        <v>0.16788571428571428</v>
      </c>
      <c r="V20" s="67">
        <v>13</v>
      </c>
      <c r="W20" s="26">
        <f>'Production data'!F7</f>
        <v>756</v>
      </c>
      <c r="X20" s="27">
        <f t="shared" ref="X20" si="153">IF((W20=0),0,V20/W20)</f>
        <v>1.7195767195767195E-2</v>
      </c>
      <c r="Y20" s="27">
        <f t="shared" ref="Y20" si="154">X20*9.04</f>
        <v>0.15544973544973542</v>
      </c>
      <c r="Z20" s="67">
        <v>0</v>
      </c>
      <c r="AA20" s="26">
        <f>'Production data'!G7</f>
        <v>0</v>
      </c>
      <c r="AB20" s="27">
        <f t="shared" ref="AB20" si="155">IF((AA20=0),0,Z20/AA20)</f>
        <v>0</v>
      </c>
      <c r="AC20" s="27">
        <f t="shared" ref="AC20" si="156">AB20*9.04</f>
        <v>0</v>
      </c>
      <c r="AD20" s="67">
        <v>11</v>
      </c>
      <c r="AE20" s="26">
        <f>'Production data'!H7</f>
        <v>756</v>
      </c>
      <c r="AF20" s="27">
        <f t="shared" ref="AF20:AF25" si="157">IF((AE20=0),0,AD20/AE20)</f>
        <v>1.4550264550264549E-2</v>
      </c>
      <c r="AG20" s="27">
        <f t="shared" ref="AG20:AG25" si="158">AF20*9.04</f>
        <v>0.1315343915343915</v>
      </c>
      <c r="AH20" s="67">
        <v>12</v>
      </c>
      <c r="AI20" s="26">
        <f>'Production data'!I7</f>
        <v>743</v>
      </c>
      <c r="AJ20" s="27">
        <f t="shared" ref="AJ20" si="159">IF((AI20=0),0,AH20/AI20)</f>
        <v>1.6150740242261104E-2</v>
      </c>
      <c r="AK20" s="27">
        <f t="shared" ref="AK20" si="160">AJ20*9.04</f>
        <v>0.14600269179004036</v>
      </c>
      <c r="AL20" s="67">
        <v>13</v>
      </c>
      <c r="AM20" s="26">
        <f>'Production data'!J7</f>
        <v>770</v>
      </c>
      <c r="AN20" s="27">
        <f t="shared" ref="AN20" si="161">IF((AM20=0),0,AL20/AM20)</f>
        <v>1.6883116883116882E-2</v>
      </c>
      <c r="AO20" s="27">
        <f t="shared" ref="AO20" si="162">AN20*9.04</f>
        <v>0.15262337662337661</v>
      </c>
      <c r="AP20" s="66">
        <v>12</v>
      </c>
      <c r="AQ20" s="26">
        <f>'Production data'!K7</f>
        <v>761</v>
      </c>
      <c r="AR20" s="27">
        <f t="shared" ref="AR20" si="163">IF((AQ20=0),0,AP20/AQ20)</f>
        <v>1.5768725361366621E-2</v>
      </c>
      <c r="AS20" s="27">
        <f t="shared" ref="AS20" si="164">AR20*9.04</f>
        <v>0.14254927726675423</v>
      </c>
      <c r="AT20" s="67">
        <v>12</v>
      </c>
      <c r="AU20" s="26">
        <f>'Production data'!L7</f>
        <v>847</v>
      </c>
      <c r="AV20" s="27">
        <f t="shared" ref="AV20" si="165">IF((AU20=0),0,AT20/AU20)</f>
        <v>1.4167650531286895E-2</v>
      </c>
      <c r="AW20" s="27">
        <f t="shared" ref="AW20" si="166">AV20*9.04</f>
        <v>0.12807556080283353</v>
      </c>
      <c r="AX20" s="67">
        <v>12</v>
      </c>
      <c r="AY20" s="26">
        <f>'Production data'!M7</f>
        <v>789</v>
      </c>
      <c r="AZ20" s="27">
        <f t="shared" ref="AZ20" si="167">IF((AY20=0),0,AX20/AY20)</f>
        <v>1.5209125475285171E-2</v>
      </c>
      <c r="BA20" s="27">
        <f t="shared" ref="BA20" si="168">AZ20*9.04</f>
        <v>0.13749049429657792</v>
      </c>
      <c r="BB20" s="67">
        <v>12</v>
      </c>
      <c r="BC20" s="26">
        <f>'Production data'!N7</f>
        <v>803</v>
      </c>
      <c r="BD20" s="27">
        <f t="shared" ref="BD20" si="169">IF((BC20=0),0,BB20/BC20)</f>
        <v>1.4943960149439602E-2</v>
      </c>
      <c r="BE20" s="27">
        <f t="shared" ref="BE20" si="170">BD20*9.04</f>
        <v>0.13509339975093398</v>
      </c>
      <c r="BF20" s="67">
        <v>6</v>
      </c>
      <c r="BG20" s="26">
        <f>'Production data'!O7</f>
        <v>0</v>
      </c>
      <c r="BH20" s="27">
        <f t="shared" ref="BH20" si="171">IF((BG20=0),0,BF20/BG20)</f>
        <v>0</v>
      </c>
      <c r="BI20" s="27">
        <f t="shared" ref="BI20" si="172">BH20*9.04</f>
        <v>0</v>
      </c>
      <c r="BJ20" s="67">
        <v>13</v>
      </c>
      <c r="BK20" s="26">
        <f>'Production data'!P7</f>
        <v>783</v>
      </c>
      <c r="BL20" s="27">
        <f t="shared" ref="BL20" si="173">IF((BK20=0),0,BJ20/BK20)</f>
        <v>1.6602809706257982E-2</v>
      </c>
      <c r="BM20" s="27">
        <f t="shared" ref="BM20" si="174">BL20*9.04</f>
        <v>0.15008939974457214</v>
      </c>
      <c r="BN20" s="67">
        <v>13</v>
      </c>
      <c r="BO20" s="26">
        <f>'Production data'!Q7</f>
        <v>814</v>
      </c>
      <c r="BP20" s="27">
        <f t="shared" ref="BP20" si="175">IF((BO20=0),0,BN20/BO20)</f>
        <v>1.5970515970515971E-2</v>
      </c>
      <c r="BQ20" s="27">
        <f t="shared" ref="BQ20" si="176">BP20*9.04</f>
        <v>0.14437346437346435</v>
      </c>
      <c r="BR20" s="67">
        <v>14</v>
      </c>
      <c r="BS20" s="26">
        <f>'Production data'!R7</f>
        <v>755</v>
      </c>
      <c r="BT20" s="27">
        <f t="shared" ref="BT20" si="177">IF((BS20=0),0,BR20/BS20)</f>
        <v>1.8543046357615896E-2</v>
      </c>
      <c r="BU20" s="27">
        <f t="shared" ref="BU20" si="178">BT20*9.04</f>
        <v>0.16762913907284768</v>
      </c>
      <c r="BV20" s="67">
        <v>14</v>
      </c>
      <c r="BW20" s="26">
        <f>'Production data'!S7</f>
        <v>857</v>
      </c>
      <c r="BX20" s="27">
        <f t="shared" ref="BX20" si="179">IF((BW20=0),0,BV20/BW20)</f>
        <v>1.6336056009334889E-2</v>
      </c>
      <c r="BY20" s="27">
        <f t="shared" ref="BY20" si="180">BX20*9.04</f>
        <v>0.14767794632438738</v>
      </c>
      <c r="BZ20" s="66">
        <v>15</v>
      </c>
      <c r="CA20" s="26">
        <f>'Production data'!T7</f>
        <v>777</v>
      </c>
      <c r="CB20" s="27">
        <f t="shared" ref="CB20" si="181">IF((CA20=0),0,BZ20/CA20)</f>
        <v>1.9305019305019305E-2</v>
      </c>
      <c r="CC20" s="27">
        <f t="shared" ref="CC20" si="182">CB20*9.04</f>
        <v>0.17451737451737451</v>
      </c>
      <c r="CD20" s="67">
        <v>15</v>
      </c>
      <c r="CE20" s="26">
        <f>'Production data'!U7</f>
        <v>651</v>
      </c>
      <c r="CF20" s="27">
        <f t="shared" ref="CF20" si="183">IF((CE20=0),0,CD20/CE20)</f>
        <v>2.3041474654377881E-2</v>
      </c>
      <c r="CG20" s="27">
        <f t="shared" ref="CG20" si="184">CF20*9.04</f>
        <v>0.20829493087557602</v>
      </c>
      <c r="CH20" s="66">
        <v>1</v>
      </c>
      <c r="CI20" s="26">
        <f>'Production data'!V7</f>
        <v>0</v>
      </c>
      <c r="CJ20" s="27">
        <f t="shared" ref="CJ20" si="185">IF((CI20=0),0,CH20/CI20)</f>
        <v>0</v>
      </c>
      <c r="CK20" s="27">
        <f t="shared" ref="CK20" si="186">CJ20*9.04</f>
        <v>0</v>
      </c>
      <c r="CL20" s="59">
        <v>15</v>
      </c>
      <c r="CM20" s="26">
        <f>'Production data'!W7</f>
        <v>651</v>
      </c>
      <c r="CN20" s="27">
        <f t="shared" ref="CN20" si="187">IF((CM20=0),0,CL20/CM20)</f>
        <v>2.3041474654377881E-2</v>
      </c>
      <c r="CO20" s="27">
        <f t="shared" ref="CO20" si="188">CN20*9.04</f>
        <v>0.20829493087557602</v>
      </c>
      <c r="CP20" s="8">
        <v>14</v>
      </c>
      <c r="CQ20" s="26">
        <f>'Production data'!X7</f>
        <v>676</v>
      </c>
      <c r="CR20" s="27">
        <f t="shared" ref="CR20" si="189">IF((CQ20=0),0,CP20/CQ20)</f>
        <v>2.0710059171597635E-2</v>
      </c>
      <c r="CS20" s="27">
        <f t="shared" ref="CS20" si="190">CR20*9.04</f>
        <v>0.18721893491124261</v>
      </c>
      <c r="CT20" s="8">
        <v>15</v>
      </c>
      <c r="CU20" s="26">
        <f>'Production data'!Y7</f>
        <v>798</v>
      </c>
      <c r="CV20" s="27">
        <f t="shared" ref="CV20" si="191">IF((CU20=0),0,CT20/CU20)</f>
        <v>1.8796992481203006E-2</v>
      </c>
      <c r="CW20" s="27">
        <f t="shared" ref="CW20" si="192">CV20*9.04</f>
        <v>0.16992481203007517</v>
      </c>
      <c r="CX20" s="8">
        <v>15</v>
      </c>
      <c r="CY20" s="26">
        <f>'Production data'!Z7</f>
        <v>620</v>
      </c>
      <c r="CZ20" s="27">
        <f t="shared" ref="CZ20" si="193">IF((CY20=0),0,CX20/CY20)</f>
        <v>2.4193548387096774E-2</v>
      </c>
      <c r="DA20" s="27">
        <f t="shared" ref="DA20" si="194">CZ20*9.04</f>
        <v>0.21870967741935482</v>
      </c>
      <c r="DB20" s="63">
        <v>14</v>
      </c>
      <c r="DC20" s="26">
        <f>'Production data'!AA7</f>
        <v>710</v>
      </c>
      <c r="DD20" s="27">
        <f t="shared" ref="DD20" si="195">IF((DC20=0),0,DB20/DC20)</f>
        <v>1.9718309859154931E-2</v>
      </c>
      <c r="DE20" s="27">
        <f t="shared" ref="DE20" si="196">DD20*9.04</f>
        <v>0.17825352112676057</v>
      </c>
      <c r="DF20" s="8">
        <v>15</v>
      </c>
      <c r="DG20" s="26">
        <f>'Production data'!AB7</f>
        <v>482</v>
      </c>
      <c r="DH20" s="27">
        <f t="shared" ref="DH20" si="197">IF((DG20=0),0,DF20/DG20)</f>
        <v>3.1120331950207469E-2</v>
      </c>
      <c r="DI20" s="27">
        <f t="shared" ref="DI20" si="198">DH20*9.04</f>
        <v>0.28132780082987552</v>
      </c>
      <c r="DJ20" s="8">
        <v>9</v>
      </c>
      <c r="DK20" s="26">
        <f>'Production data'!AC7</f>
        <v>0</v>
      </c>
      <c r="DL20" s="27">
        <f t="shared" ref="DL20" si="199">IF((DK20=0),0,DJ20/DK20)</f>
        <v>0</v>
      </c>
      <c r="DM20" s="27">
        <f t="shared" ref="DM20" si="200">DL20*9.04</f>
        <v>0</v>
      </c>
      <c r="DN20" s="8">
        <v>16</v>
      </c>
      <c r="DO20" s="26">
        <f>'Production data'!AD7</f>
        <v>620</v>
      </c>
      <c r="DP20" s="27">
        <f t="shared" ref="DP20" si="201">IF((DO20=0),0,DN20/DO20)</f>
        <v>2.5806451612903226E-2</v>
      </c>
      <c r="DQ20" s="27">
        <f t="shared" ref="DQ20" si="202">DP20*9.04</f>
        <v>0.23329032258064514</v>
      </c>
      <c r="DR20" s="8">
        <v>14</v>
      </c>
      <c r="DS20" s="26">
        <f>'Production data'!AE7</f>
        <v>300</v>
      </c>
      <c r="DT20" s="27">
        <f t="shared" ref="DT20:DT25" si="203">IF((DS20=0),0,DR20/DS20)</f>
        <v>4.6666666666666669E-2</v>
      </c>
      <c r="DU20" s="27">
        <f t="shared" ref="DU20:DU25" si="204">DT20*9.04</f>
        <v>0.42186666666666667</v>
      </c>
      <c r="DV20" s="8"/>
      <c r="DW20" s="26">
        <f>'Production data'!AF7</f>
        <v>0</v>
      </c>
      <c r="DX20" s="27">
        <f t="shared" ref="DX20" si="205">IF((DW20=0),0,DV20/DW20)</f>
        <v>0</v>
      </c>
      <c r="DY20" s="27">
        <f t="shared" ref="DY20" si="206">DX20*9.04</f>
        <v>0</v>
      </c>
      <c r="DZ20" s="28">
        <f t="shared" ref="DZ20:DZ25" si="207">F20+J20+N20+R20+V20+Z20+AD20+AH20+AL20+AP20+AT20+AX20+BB20+BF20+BJ20+BN20+BR20+BV20+BZ20+CD20+CH20+CL20+CP20+CT20+CX20+DB20+DF20+DJ20+DN20+DR20+DV20</f>
        <v>352</v>
      </c>
      <c r="EA20" s="28">
        <f t="shared" ref="EA20:EA25" si="208">G20+K20+O20+S20+W20+AA20+AI20+AM20+AQ20+AU20+AY20+BC20+BG20+BK20+BO20+BS20+BW20+CA20+CE20+CI20+CM20+CQ20+CU20+CY20+DC20+DG20+DK20+DO20+DS20+DW20</f>
        <v>17158</v>
      </c>
      <c r="EB20" s="33">
        <f t="shared" ref="EB20:EB25" si="209">IF((EA20=0),0,DZ20/EA20)</f>
        <v>2.0515211563119244E-2</v>
      </c>
      <c r="EC20" s="33">
        <f t="shared" ref="EC20:EC25" si="210">EB20*9.04</f>
        <v>0.18545751253059795</v>
      </c>
      <c r="ED20" s="42"/>
      <c r="EE20" s="42"/>
      <c r="EF20" s="42"/>
      <c r="EG20" s="42"/>
      <c r="EH20" s="42"/>
      <c r="EI20" s="42"/>
      <c r="EJ20" s="42"/>
      <c r="EK20" s="42"/>
      <c r="EL20" s="42"/>
      <c r="EM20" s="42"/>
      <c r="EN20" s="42"/>
      <c r="EO20" s="42"/>
      <c r="EP20" s="42"/>
      <c r="EQ20" s="42"/>
      <c r="ER20" s="42"/>
      <c r="ES20" s="42"/>
      <c r="ET20" s="42"/>
      <c r="EU20" s="42"/>
      <c r="EV20" s="42"/>
      <c r="EW20" s="42"/>
      <c r="EX20" s="42"/>
      <c r="EY20" s="42"/>
      <c r="EZ20" s="42"/>
      <c r="FA20" s="42"/>
      <c r="FB20" s="42"/>
      <c r="FC20" s="42"/>
      <c r="FD20" s="42"/>
      <c r="FE20" s="42"/>
      <c r="FF20" s="42"/>
      <c r="FG20" s="42"/>
      <c r="FH20" s="42"/>
      <c r="FI20" s="42"/>
      <c r="FJ20" s="42"/>
      <c r="FK20" s="42"/>
      <c r="FL20" s="42"/>
      <c r="FM20" s="42"/>
      <c r="FN20" s="42"/>
      <c r="FO20" s="42"/>
      <c r="FP20" s="42"/>
      <c r="FQ20" s="42"/>
      <c r="FR20" s="42"/>
      <c r="FS20" s="42"/>
      <c r="FT20" s="42"/>
      <c r="FU20" s="42"/>
      <c r="FV20" s="42"/>
      <c r="FW20" s="42"/>
      <c r="FX20" s="42"/>
      <c r="FY20" s="42"/>
      <c r="FZ20" s="42"/>
      <c r="GA20" s="42"/>
      <c r="GB20" s="42"/>
      <c r="GC20" s="42"/>
      <c r="GD20" s="42"/>
      <c r="GE20" s="42"/>
      <c r="GF20" s="42"/>
      <c r="GG20" s="42"/>
      <c r="GH20" s="42"/>
      <c r="GI20" s="42"/>
      <c r="GJ20" s="42"/>
      <c r="GK20" s="42"/>
      <c r="GL20" s="42"/>
      <c r="GM20" s="42"/>
      <c r="GN20" s="42"/>
      <c r="GO20" s="42"/>
      <c r="GP20" s="42"/>
      <c r="GQ20" s="42"/>
      <c r="GR20" s="42"/>
      <c r="GS20" s="42"/>
      <c r="GT20" s="42"/>
      <c r="GU20" s="42"/>
      <c r="GV20" s="42"/>
      <c r="GW20" s="42"/>
      <c r="GX20" s="42"/>
      <c r="GY20" s="42"/>
      <c r="GZ20" s="42"/>
      <c r="HA20" s="42"/>
      <c r="HB20" s="42"/>
      <c r="HC20" s="42"/>
      <c r="HD20" s="42"/>
      <c r="HE20" s="42"/>
      <c r="HF20" s="42"/>
      <c r="HG20" s="42"/>
      <c r="HH20" s="42"/>
      <c r="HI20" s="42"/>
      <c r="HJ20" s="42"/>
      <c r="HK20" s="42"/>
      <c r="HL20" s="42"/>
      <c r="HM20" s="42"/>
      <c r="HN20" s="42"/>
      <c r="HO20" s="42"/>
      <c r="HP20" s="42"/>
      <c r="HQ20" s="42"/>
      <c r="HR20" s="42"/>
      <c r="HS20" s="42"/>
      <c r="HT20" s="42"/>
      <c r="HU20" s="42"/>
      <c r="HV20" s="42"/>
      <c r="HW20" s="42"/>
      <c r="HX20" s="42"/>
      <c r="HY20" s="42"/>
      <c r="HZ20" s="42"/>
      <c r="IA20" s="42"/>
      <c r="IB20" s="42"/>
      <c r="IC20" s="42"/>
      <c r="ID20" s="42"/>
      <c r="IE20" s="42"/>
      <c r="IF20" s="42"/>
      <c r="IG20" s="42"/>
      <c r="IH20" s="42"/>
      <c r="II20" s="42"/>
      <c r="IJ20" s="42"/>
      <c r="IK20" s="42"/>
      <c r="IL20" s="42"/>
      <c r="IM20" s="42"/>
      <c r="IN20" s="42"/>
      <c r="IO20" s="42"/>
      <c r="IP20" s="42"/>
      <c r="IQ20" s="42"/>
      <c r="IR20" s="42"/>
      <c r="IS20" s="42"/>
      <c r="IT20" s="42"/>
      <c r="IU20" s="42"/>
      <c r="IV20" s="42"/>
      <c r="IW20" s="42"/>
      <c r="IX20" s="42"/>
      <c r="IY20" s="42"/>
      <c r="IZ20" s="42"/>
      <c r="JA20" s="42"/>
      <c r="JB20" s="42"/>
      <c r="JC20" s="42"/>
      <c r="JD20" s="42"/>
      <c r="JE20" s="42"/>
      <c r="JF20" s="42"/>
      <c r="JG20" s="42"/>
      <c r="JH20" s="42"/>
      <c r="JI20" s="42"/>
      <c r="JJ20" s="42"/>
      <c r="JK20" s="42"/>
      <c r="JL20" s="42"/>
      <c r="JM20" s="42"/>
    </row>
    <row r="21" spans="1:273" s="32" customFormat="1" ht="25.5" x14ac:dyDescent="0.35">
      <c r="A21" s="24"/>
      <c r="B21" s="24"/>
      <c r="C21" s="24">
        <v>31</v>
      </c>
      <c r="D21" s="25" t="s">
        <v>323</v>
      </c>
      <c r="E21" s="72"/>
      <c r="F21" s="67">
        <v>0</v>
      </c>
      <c r="G21" s="26">
        <f>G20</f>
        <v>0</v>
      </c>
      <c r="H21" s="27">
        <f t="shared" ref="H21:H25" si="211">IF((G21=0),0,F21/G21)</f>
        <v>0</v>
      </c>
      <c r="I21" s="27">
        <f t="shared" si="0"/>
        <v>0</v>
      </c>
      <c r="J21" s="67">
        <v>127</v>
      </c>
      <c r="K21" s="26">
        <f>K20</f>
        <v>690</v>
      </c>
      <c r="L21" s="27">
        <f t="shared" ref="L21:L25" si="212">IF((K21=0),0,J21/K21)</f>
        <v>0.18405797101449275</v>
      </c>
      <c r="M21" s="27">
        <f t="shared" ref="M21:M25" si="213">L21*9.04</f>
        <v>1.6638840579710144</v>
      </c>
      <c r="N21" s="67">
        <v>124</v>
      </c>
      <c r="O21" s="26">
        <f>O20</f>
        <v>805</v>
      </c>
      <c r="P21" s="27">
        <f t="shared" ref="P21:P25" si="214">IF((O21=0),0,N21/O21)</f>
        <v>0.15403726708074533</v>
      </c>
      <c r="Q21" s="27">
        <f t="shared" ref="Q21:Q25" si="215">P21*9.04</f>
        <v>1.3924968944099376</v>
      </c>
      <c r="R21" s="67">
        <v>138</v>
      </c>
      <c r="S21" s="26">
        <f>S20</f>
        <v>700</v>
      </c>
      <c r="T21" s="27">
        <f t="shared" ref="T21:T25" si="216">IF((S21=0),0,R21/S21)</f>
        <v>0.19714285714285715</v>
      </c>
      <c r="U21" s="27">
        <f t="shared" ref="U21:U25" si="217">T21*9.04</f>
        <v>1.7821714285714285</v>
      </c>
      <c r="V21" s="67">
        <v>133</v>
      </c>
      <c r="W21" s="26">
        <f>W20</f>
        <v>756</v>
      </c>
      <c r="X21" s="27">
        <f t="shared" ref="X21:X25" si="218">IF((W21=0),0,V21/W21)</f>
        <v>0.17592592592592593</v>
      </c>
      <c r="Y21" s="27">
        <f t="shared" ref="Y21:Y25" si="219">X21*9.04</f>
        <v>1.5903703703703702</v>
      </c>
      <c r="Z21" s="67">
        <v>2</v>
      </c>
      <c r="AA21" s="26">
        <f>AA20</f>
        <v>0</v>
      </c>
      <c r="AB21" s="27">
        <f t="shared" ref="AB21:AB25" si="220">IF((AA21=0),0,Z21/AA21)</f>
        <v>0</v>
      </c>
      <c r="AC21" s="27">
        <f t="shared" ref="AC21:AC25" si="221">AB21*9.04</f>
        <v>0</v>
      </c>
      <c r="AD21" s="67">
        <v>127</v>
      </c>
      <c r="AE21" s="26">
        <f>AE20</f>
        <v>756</v>
      </c>
      <c r="AF21" s="27">
        <f t="shared" si="157"/>
        <v>0.16798941798941799</v>
      </c>
      <c r="AG21" s="27">
        <f t="shared" si="158"/>
        <v>1.5186243386243385</v>
      </c>
      <c r="AH21" s="67">
        <v>134</v>
      </c>
      <c r="AI21" s="26">
        <f>AI20</f>
        <v>743</v>
      </c>
      <c r="AJ21" s="27">
        <f t="shared" ref="AJ21:AJ25" si="222">IF((AI21=0),0,AH21/AI21)</f>
        <v>0.18034993270524899</v>
      </c>
      <c r="AK21" s="27">
        <f t="shared" ref="AK21:AK25" si="223">AJ21*9.04</f>
        <v>1.6303633916554507</v>
      </c>
      <c r="AL21" s="67">
        <v>137</v>
      </c>
      <c r="AM21" s="26">
        <f>AM20</f>
        <v>770</v>
      </c>
      <c r="AN21" s="27">
        <f t="shared" ref="AN21:AN25" si="224">IF((AM21=0),0,AL21/AM21)</f>
        <v>0.17792207792207793</v>
      </c>
      <c r="AO21" s="27">
        <f t="shared" ref="AO21:AO25" si="225">AN21*9.04</f>
        <v>1.6084155844155843</v>
      </c>
      <c r="AP21" s="66">
        <v>146</v>
      </c>
      <c r="AQ21" s="26">
        <f>AQ20</f>
        <v>761</v>
      </c>
      <c r="AR21" s="27">
        <f t="shared" ref="AR21:AR25" si="226">IF((AQ21=0),0,AP21/AQ21)</f>
        <v>0.19185282522996058</v>
      </c>
      <c r="AS21" s="27">
        <f t="shared" ref="AS21:AS25" si="227">AR21*9.04</f>
        <v>1.7343495400788436</v>
      </c>
      <c r="AT21" s="67">
        <v>145</v>
      </c>
      <c r="AU21" s="26">
        <f>AU20</f>
        <v>847</v>
      </c>
      <c r="AV21" s="27">
        <f t="shared" ref="AV21:AV25" si="228">IF((AU21=0),0,AT21/AU21)</f>
        <v>0.17119244391971664</v>
      </c>
      <c r="AW21" s="27">
        <f t="shared" ref="AW21:AW25" si="229">AV21*9.04</f>
        <v>1.5475796930342383</v>
      </c>
      <c r="AX21" s="67">
        <v>136</v>
      </c>
      <c r="AY21" s="26">
        <f>AY20</f>
        <v>789</v>
      </c>
      <c r="AZ21" s="27">
        <f t="shared" ref="AZ21:AZ25" si="230">IF((AY21=0),0,AX21/AY21)</f>
        <v>0.17237008871989862</v>
      </c>
      <c r="BA21" s="27">
        <f t="shared" ref="BA21:BA25" si="231">AZ21*9.04</f>
        <v>1.5582256020278833</v>
      </c>
      <c r="BB21" s="67">
        <v>146</v>
      </c>
      <c r="BC21" s="26">
        <f>BC20</f>
        <v>803</v>
      </c>
      <c r="BD21" s="27">
        <f t="shared" ref="BD21:BD25" si="232">IF((BC21=0),0,BB21/BC21)</f>
        <v>0.18181818181818182</v>
      </c>
      <c r="BE21" s="27">
        <f t="shared" ref="BE21:BE25" si="233">BD21*9.04</f>
        <v>1.6436363636363636</v>
      </c>
      <c r="BF21" s="67">
        <v>3</v>
      </c>
      <c r="BG21" s="26">
        <f>BG20</f>
        <v>0</v>
      </c>
      <c r="BH21" s="27">
        <f t="shared" ref="BH21:BH25" si="234">IF((BG21=0),0,BF21/BG21)</f>
        <v>0</v>
      </c>
      <c r="BI21" s="27">
        <f t="shared" ref="BI21:BI25" si="235">BH21*9.04</f>
        <v>0</v>
      </c>
      <c r="BJ21" s="67">
        <v>141</v>
      </c>
      <c r="BK21" s="26">
        <f>BK20</f>
        <v>783</v>
      </c>
      <c r="BL21" s="27">
        <f t="shared" ref="BL21:BL25" si="236">IF((BK21=0),0,BJ21/BK21)</f>
        <v>0.18007662835249041</v>
      </c>
      <c r="BM21" s="27">
        <f t="shared" ref="BM21:BM25" si="237">BL21*9.04</f>
        <v>1.6278927203065132</v>
      </c>
      <c r="BN21" s="67">
        <v>143</v>
      </c>
      <c r="BO21" s="26">
        <f>BO20</f>
        <v>814</v>
      </c>
      <c r="BP21" s="27">
        <f t="shared" ref="BP21:BP25" si="238">IF((BO21=0),0,BN21/BO21)</f>
        <v>0.17567567567567569</v>
      </c>
      <c r="BQ21" s="27">
        <f t="shared" ref="BQ21:BQ25" si="239">BP21*9.04</f>
        <v>1.5881081081081081</v>
      </c>
      <c r="BR21" s="67">
        <v>140</v>
      </c>
      <c r="BS21" s="26">
        <f>BS20</f>
        <v>755</v>
      </c>
      <c r="BT21" s="27">
        <f t="shared" ref="BT21:BT25" si="240">IF((BS21=0),0,BR21/BS21)</f>
        <v>0.18543046357615894</v>
      </c>
      <c r="BU21" s="27">
        <f t="shared" ref="BU21:BU25" si="241">BT21*9.04</f>
        <v>1.6762913907284767</v>
      </c>
      <c r="BV21" s="67">
        <v>138</v>
      </c>
      <c r="BW21" s="26">
        <f>BW20</f>
        <v>857</v>
      </c>
      <c r="BX21" s="27">
        <f t="shared" ref="BX21:BX25" si="242">IF((BW21=0),0,BV21/BW21)</f>
        <v>0.16102683780630106</v>
      </c>
      <c r="BY21" s="27">
        <f t="shared" ref="BY21:BY25" si="243">BX21*9.04</f>
        <v>1.4556826137689614</v>
      </c>
      <c r="BZ21" s="66">
        <v>122</v>
      </c>
      <c r="CA21" s="26">
        <f>CA20</f>
        <v>777</v>
      </c>
      <c r="CB21" s="27">
        <f t="shared" ref="CB21:CB25" si="244">IF((CA21=0),0,BZ21/CA21)</f>
        <v>0.15701415701415702</v>
      </c>
      <c r="CC21" s="27">
        <f t="shared" ref="CC21:CC25" si="245">CB21*9.04</f>
        <v>1.4194079794079795</v>
      </c>
      <c r="CD21" s="67">
        <v>122</v>
      </c>
      <c r="CE21" s="26">
        <f>CE20</f>
        <v>651</v>
      </c>
      <c r="CF21" s="27">
        <f t="shared" ref="CF21:CF25" si="246">IF((CE21=0),0,CD21/CE21)</f>
        <v>0.18740399385560677</v>
      </c>
      <c r="CG21" s="27">
        <f t="shared" ref="CG21:CG25" si="247">CF21*9.04</f>
        <v>1.6941321044546851</v>
      </c>
      <c r="CH21" s="66">
        <v>5</v>
      </c>
      <c r="CI21" s="26">
        <f>CI20</f>
        <v>0</v>
      </c>
      <c r="CJ21" s="27">
        <f t="shared" ref="CJ21:CJ25" si="248">IF((CI21=0),0,CH21/CI21)</f>
        <v>0</v>
      </c>
      <c r="CK21" s="27">
        <f t="shared" ref="CK21:CK25" si="249">CJ21*9.04</f>
        <v>0</v>
      </c>
      <c r="CL21" s="59">
        <v>128</v>
      </c>
      <c r="CM21" s="26">
        <f>CM20</f>
        <v>651</v>
      </c>
      <c r="CN21" s="27">
        <f t="shared" ref="CN21:CN25" si="250">IF((CM21=0),0,CL21/CM21)</f>
        <v>0.19662058371735791</v>
      </c>
      <c r="CO21" s="27">
        <f t="shared" ref="CO21:CO25" si="251">CN21*9.04</f>
        <v>1.7774500768049153</v>
      </c>
      <c r="CP21" s="8">
        <v>107</v>
      </c>
      <c r="CQ21" s="26">
        <f>CQ20</f>
        <v>676</v>
      </c>
      <c r="CR21" s="27">
        <f t="shared" ref="CR21:CR25" si="252">IF((CQ21=0),0,CP21/CQ21)</f>
        <v>0.15828402366863906</v>
      </c>
      <c r="CS21" s="27">
        <f t="shared" ref="CS21:CS25" si="253">CR21*9.04</f>
        <v>1.4308875739644968</v>
      </c>
      <c r="CT21" s="8">
        <v>127</v>
      </c>
      <c r="CU21" s="26">
        <f>CU20</f>
        <v>798</v>
      </c>
      <c r="CV21" s="27">
        <f t="shared" ref="CV21:CV25" si="254">IF((CU21=0),0,CT21/CU21)</f>
        <v>0.15914786967418545</v>
      </c>
      <c r="CW21" s="27">
        <f t="shared" ref="CW21:CW25" si="255">CV21*9.04</f>
        <v>1.4386967418546364</v>
      </c>
      <c r="CX21" s="8">
        <v>102</v>
      </c>
      <c r="CY21" s="26">
        <f>CY20</f>
        <v>620</v>
      </c>
      <c r="CZ21" s="27">
        <f t="shared" ref="CZ21:CZ25" si="256">IF((CY21=0),0,CX21/CY21)</f>
        <v>0.16451612903225807</v>
      </c>
      <c r="DA21" s="27">
        <f t="shared" ref="DA21:DA25" si="257">CZ21*9.04</f>
        <v>1.4872258064516128</v>
      </c>
      <c r="DB21" s="63">
        <v>118</v>
      </c>
      <c r="DC21" s="26">
        <f>DC20</f>
        <v>710</v>
      </c>
      <c r="DD21" s="27">
        <f t="shared" ref="DD21:DD25" si="258">IF((DC21=0),0,DB21/DC21)</f>
        <v>0.16619718309859155</v>
      </c>
      <c r="DE21" s="27">
        <f t="shared" ref="DE21:DE25" si="259">DD21*9.04</f>
        <v>1.5024225352112675</v>
      </c>
      <c r="DF21" s="8">
        <v>85</v>
      </c>
      <c r="DG21" s="26">
        <f>DG20</f>
        <v>482</v>
      </c>
      <c r="DH21" s="27">
        <f t="shared" ref="DH21:DH25" si="260">IF((DG21=0),0,DF21/DG21)</f>
        <v>0.17634854771784234</v>
      </c>
      <c r="DI21" s="27">
        <f t="shared" ref="DI21:DI25" si="261">DH21*9.04</f>
        <v>1.5941908713692945</v>
      </c>
      <c r="DJ21" s="8">
        <v>58</v>
      </c>
      <c r="DK21" s="26">
        <f>DK20</f>
        <v>0</v>
      </c>
      <c r="DL21" s="27">
        <f t="shared" ref="DL21:DL25" si="262">IF((DK21=0),0,DJ21/DK21)</f>
        <v>0</v>
      </c>
      <c r="DM21" s="27">
        <f t="shared" ref="DM21:DM25" si="263">DL21*9.04</f>
        <v>0</v>
      </c>
      <c r="DN21" s="8">
        <v>82</v>
      </c>
      <c r="DO21" s="26">
        <f>DO20</f>
        <v>620</v>
      </c>
      <c r="DP21" s="27">
        <f t="shared" ref="DP21:DP25" si="264">IF((DO21=0),0,DN21/DO21)</f>
        <v>0.13225806451612904</v>
      </c>
      <c r="DQ21" s="27">
        <f t="shared" ref="DQ21:DQ25" si="265">DP21*9.04</f>
        <v>1.1956129032258065</v>
      </c>
      <c r="DR21" s="8">
        <v>68</v>
      </c>
      <c r="DS21" s="26">
        <f>DS20</f>
        <v>300</v>
      </c>
      <c r="DT21" s="27">
        <f t="shared" si="203"/>
        <v>0.22666666666666666</v>
      </c>
      <c r="DU21" s="27">
        <f t="shared" si="204"/>
        <v>2.0490666666666666</v>
      </c>
      <c r="DV21" s="8"/>
      <c r="DW21" s="26">
        <f>DW20</f>
        <v>0</v>
      </c>
      <c r="DX21" s="27">
        <f t="shared" ref="DX21:DX25" si="266">IF((DW21=0),0,DV21/DW21)</f>
        <v>0</v>
      </c>
      <c r="DY21" s="27">
        <f t="shared" ref="DY21:DY25" si="267">DX21*9.04</f>
        <v>0</v>
      </c>
      <c r="DZ21" s="28">
        <f t="shared" si="207"/>
        <v>3184</v>
      </c>
      <c r="EA21" s="28">
        <f t="shared" si="208"/>
        <v>17158</v>
      </c>
      <c r="EB21" s="33">
        <f t="shared" si="209"/>
        <v>0.18556941368457863</v>
      </c>
      <c r="EC21" s="33">
        <f t="shared" si="210"/>
        <v>1.6775474997085906</v>
      </c>
    </row>
    <row r="22" spans="1:273" s="32" customFormat="1" ht="25.5" x14ac:dyDescent="0.35">
      <c r="A22" s="24"/>
      <c r="B22" s="24"/>
      <c r="C22" s="24">
        <v>34</v>
      </c>
      <c r="D22" s="25" t="s">
        <v>294</v>
      </c>
      <c r="E22" s="72"/>
      <c r="F22" s="67">
        <v>0</v>
      </c>
      <c r="G22" s="26">
        <f>G21</f>
        <v>0</v>
      </c>
      <c r="H22" s="27">
        <f t="shared" si="211"/>
        <v>0</v>
      </c>
      <c r="I22" s="27">
        <f t="shared" ref="I22" si="268">H22*9.04</f>
        <v>0</v>
      </c>
      <c r="J22" s="67">
        <v>16</v>
      </c>
      <c r="K22" s="26">
        <f>K21</f>
        <v>690</v>
      </c>
      <c r="L22" s="27">
        <f t="shared" si="212"/>
        <v>2.318840579710145E-2</v>
      </c>
      <c r="M22" s="27">
        <f t="shared" si="213"/>
        <v>0.20962318840579708</v>
      </c>
      <c r="N22" s="67">
        <v>12</v>
      </c>
      <c r="O22" s="26">
        <f>O21</f>
        <v>805</v>
      </c>
      <c r="P22" s="27">
        <f t="shared" si="214"/>
        <v>1.4906832298136646E-2</v>
      </c>
      <c r="Q22" s="27">
        <f t="shared" si="215"/>
        <v>0.13475776397515526</v>
      </c>
      <c r="R22" s="67">
        <v>15</v>
      </c>
      <c r="S22" s="26">
        <f>S21</f>
        <v>700</v>
      </c>
      <c r="T22" s="27">
        <f t="shared" si="216"/>
        <v>2.1428571428571429E-2</v>
      </c>
      <c r="U22" s="27">
        <f t="shared" si="217"/>
        <v>0.1937142857142857</v>
      </c>
      <c r="V22" s="67">
        <v>16</v>
      </c>
      <c r="W22" s="26">
        <f>W21</f>
        <v>756</v>
      </c>
      <c r="X22" s="27">
        <f t="shared" si="218"/>
        <v>2.1164021164021163E-2</v>
      </c>
      <c r="Y22" s="27">
        <f t="shared" si="219"/>
        <v>0.19132275132275128</v>
      </c>
      <c r="Z22" s="67">
        <v>1</v>
      </c>
      <c r="AA22" s="26">
        <f>AA21</f>
        <v>0</v>
      </c>
      <c r="AB22" s="27">
        <f t="shared" si="220"/>
        <v>0</v>
      </c>
      <c r="AC22" s="27">
        <f t="shared" si="221"/>
        <v>0</v>
      </c>
      <c r="AD22" s="67">
        <v>15</v>
      </c>
      <c r="AE22" s="26">
        <f>AE21</f>
        <v>756</v>
      </c>
      <c r="AF22" s="27">
        <f t="shared" si="157"/>
        <v>1.984126984126984E-2</v>
      </c>
      <c r="AG22" s="27">
        <f t="shared" si="158"/>
        <v>0.17936507936507934</v>
      </c>
      <c r="AH22" s="66">
        <v>16</v>
      </c>
      <c r="AI22" s="26">
        <f>AI21</f>
        <v>743</v>
      </c>
      <c r="AJ22" s="27">
        <f t="shared" si="222"/>
        <v>2.1534320323014805E-2</v>
      </c>
      <c r="AK22" s="27">
        <f t="shared" si="223"/>
        <v>0.19467025572005381</v>
      </c>
      <c r="AL22" s="66">
        <v>15</v>
      </c>
      <c r="AM22" s="26">
        <f>AM21</f>
        <v>770</v>
      </c>
      <c r="AN22" s="27">
        <f t="shared" si="224"/>
        <v>1.948051948051948E-2</v>
      </c>
      <c r="AO22" s="27">
        <f t="shared" si="225"/>
        <v>0.1761038961038961</v>
      </c>
      <c r="AP22" s="66">
        <v>9</v>
      </c>
      <c r="AQ22" s="26">
        <f>AQ21</f>
        <v>761</v>
      </c>
      <c r="AR22" s="27">
        <f t="shared" si="226"/>
        <v>1.1826544021024968E-2</v>
      </c>
      <c r="AS22" s="27">
        <f t="shared" si="227"/>
        <v>0.10691195795006569</v>
      </c>
      <c r="AT22" s="66">
        <v>11</v>
      </c>
      <c r="AU22" s="26">
        <f>AU21</f>
        <v>847</v>
      </c>
      <c r="AV22" s="27">
        <f t="shared" si="228"/>
        <v>1.2987012987012988E-2</v>
      </c>
      <c r="AW22" s="27">
        <f t="shared" si="229"/>
        <v>0.1174025974025974</v>
      </c>
      <c r="AX22" s="67">
        <v>15</v>
      </c>
      <c r="AY22" s="26">
        <f>AY21</f>
        <v>789</v>
      </c>
      <c r="AZ22" s="27">
        <f t="shared" si="230"/>
        <v>1.9011406844106463E-2</v>
      </c>
      <c r="BA22" s="27">
        <f t="shared" si="231"/>
        <v>0.17186311787072242</v>
      </c>
      <c r="BB22" s="66">
        <v>12</v>
      </c>
      <c r="BC22" s="26">
        <f>BC21</f>
        <v>803</v>
      </c>
      <c r="BD22" s="27">
        <f t="shared" si="232"/>
        <v>1.4943960149439602E-2</v>
      </c>
      <c r="BE22" s="27">
        <f t="shared" si="233"/>
        <v>0.13509339975093398</v>
      </c>
      <c r="BF22" s="66">
        <v>1</v>
      </c>
      <c r="BG22" s="26">
        <f>BG21</f>
        <v>0</v>
      </c>
      <c r="BH22" s="27">
        <f t="shared" si="234"/>
        <v>0</v>
      </c>
      <c r="BI22" s="27">
        <f t="shared" si="235"/>
        <v>0</v>
      </c>
      <c r="BJ22" s="66">
        <v>15</v>
      </c>
      <c r="BK22" s="26">
        <f>BK21</f>
        <v>783</v>
      </c>
      <c r="BL22" s="27">
        <f t="shared" si="236"/>
        <v>1.9157088122605363E-2</v>
      </c>
      <c r="BM22" s="27">
        <f t="shared" si="237"/>
        <v>0.17318007662835247</v>
      </c>
      <c r="BN22" s="66">
        <v>15</v>
      </c>
      <c r="BO22" s="26">
        <f>BO21</f>
        <v>814</v>
      </c>
      <c r="BP22" s="27">
        <f t="shared" si="238"/>
        <v>1.8427518427518427E-2</v>
      </c>
      <c r="BQ22" s="27">
        <f t="shared" si="239"/>
        <v>0.16658476658476656</v>
      </c>
      <c r="BR22" s="66">
        <v>17</v>
      </c>
      <c r="BS22" s="26">
        <f>BS21</f>
        <v>755</v>
      </c>
      <c r="BT22" s="27">
        <f t="shared" si="240"/>
        <v>2.2516556291390728E-2</v>
      </c>
      <c r="BU22" s="27">
        <f t="shared" si="241"/>
        <v>0.20354966887417217</v>
      </c>
      <c r="BV22" s="66">
        <v>17</v>
      </c>
      <c r="BW22" s="26">
        <f>BW21</f>
        <v>857</v>
      </c>
      <c r="BX22" s="27">
        <f t="shared" si="242"/>
        <v>1.9836639439906652E-2</v>
      </c>
      <c r="BY22" s="27">
        <f t="shared" si="243"/>
        <v>0.17932322053675612</v>
      </c>
      <c r="BZ22" s="66">
        <v>16</v>
      </c>
      <c r="CA22" s="26">
        <f>CA21</f>
        <v>777</v>
      </c>
      <c r="CB22" s="27">
        <f t="shared" si="244"/>
        <v>2.0592020592020591E-2</v>
      </c>
      <c r="CC22" s="27">
        <f t="shared" si="245"/>
        <v>0.18615186615186613</v>
      </c>
      <c r="CD22" s="66">
        <v>15</v>
      </c>
      <c r="CE22" s="26">
        <f>CE21</f>
        <v>651</v>
      </c>
      <c r="CF22" s="27">
        <f t="shared" si="246"/>
        <v>2.3041474654377881E-2</v>
      </c>
      <c r="CG22" s="27">
        <f t="shared" si="247"/>
        <v>0.20829493087557602</v>
      </c>
      <c r="CH22" s="66">
        <v>1</v>
      </c>
      <c r="CI22" s="26">
        <f>CI21</f>
        <v>0</v>
      </c>
      <c r="CJ22" s="27">
        <f t="shared" si="248"/>
        <v>0</v>
      </c>
      <c r="CK22" s="27">
        <f t="shared" si="249"/>
        <v>0</v>
      </c>
      <c r="CL22" s="59">
        <v>14</v>
      </c>
      <c r="CM22" s="26">
        <f>CM21</f>
        <v>651</v>
      </c>
      <c r="CN22" s="27">
        <f t="shared" si="250"/>
        <v>2.1505376344086023E-2</v>
      </c>
      <c r="CO22" s="27">
        <f t="shared" si="251"/>
        <v>0.19440860215053762</v>
      </c>
      <c r="CP22" s="8">
        <v>15</v>
      </c>
      <c r="CQ22" s="26">
        <f>CQ21</f>
        <v>676</v>
      </c>
      <c r="CR22" s="27">
        <f t="shared" si="252"/>
        <v>2.2189349112426034E-2</v>
      </c>
      <c r="CS22" s="27">
        <f t="shared" si="253"/>
        <v>0.20059171597633133</v>
      </c>
      <c r="CT22" s="8">
        <v>17</v>
      </c>
      <c r="CU22" s="26">
        <f>CU21</f>
        <v>798</v>
      </c>
      <c r="CV22" s="27">
        <f t="shared" si="254"/>
        <v>2.1303258145363407E-2</v>
      </c>
      <c r="CW22" s="27">
        <f t="shared" si="255"/>
        <v>0.19258145363408519</v>
      </c>
      <c r="CX22" s="8">
        <v>14</v>
      </c>
      <c r="CY22" s="26">
        <f>CY21</f>
        <v>620</v>
      </c>
      <c r="CZ22" s="27">
        <f t="shared" si="256"/>
        <v>2.2580645161290321E-2</v>
      </c>
      <c r="DA22" s="27">
        <f t="shared" si="257"/>
        <v>0.20412903225806447</v>
      </c>
      <c r="DB22" s="63">
        <v>17</v>
      </c>
      <c r="DC22" s="26">
        <f>DC21</f>
        <v>710</v>
      </c>
      <c r="DD22" s="27">
        <f t="shared" si="258"/>
        <v>2.3943661971830985E-2</v>
      </c>
      <c r="DE22" s="27">
        <f t="shared" si="259"/>
        <v>0.21645070422535209</v>
      </c>
      <c r="DF22" s="8">
        <v>15</v>
      </c>
      <c r="DG22" s="26">
        <f>DG21</f>
        <v>482</v>
      </c>
      <c r="DH22" s="27">
        <f t="shared" si="260"/>
        <v>3.1120331950207469E-2</v>
      </c>
      <c r="DI22" s="27">
        <f t="shared" si="261"/>
        <v>0.28132780082987552</v>
      </c>
      <c r="DJ22" s="8">
        <v>4</v>
      </c>
      <c r="DK22" s="26">
        <f>DK21</f>
        <v>0</v>
      </c>
      <c r="DL22" s="27">
        <f t="shared" si="262"/>
        <v>0</v>
      </c>
      <c r="DM22" s="27">
        <f t="shared" si="263"/>
        <v>0</v>
      </c>
      <c r="DN22" s="8">
        <v>17</v>
      </c>
      <c r="DO22" s="26">
        <f>DO21</f>
        <v>620</v>
      </c>
      <c r="DP22" s="27">
        <f t="shared" si="264"/>
        <v>2.7419354838709678E-2</v>
      </c>
      <c r="DQ22" s="27">
        <f t="shared" si="265"/>
        <v>0.24787096774193546</v>
      </c>
      <c r="DR22" s="8">
        <v>8</v>
      </c>
      <c r="DS22" s="26">
        <f>DS21</f>
        <v>300</v>
      </c>
      <c r="DT22" s="27">
        <f t="shared" si="203"/>
        <v>2.6666666666666668E-2</v>
      </c>
      <c r="DU22" s="27">
        <f t="shared" si="204"/>
        <v>0.24106666666666665</v>
      </c>
      <c r="DV22" s="8"/>
      <c r="DW22" s="26">
        <f>DW21</f>
        <v>0</v>
      </c>
      <c r="DX22" s="27">
        <f t="shared" si="266"/>
        <v>0</v>
      </c>
      <c r="DY22" s="27">
        <f t="shared" si="267"/>
        <v>0</v>
      </c>
      <c r="DZ22" s="28">
        <f t="shared" si="207"/>
        <v>371</v>
      </c>
      <c r="EA22" s="28">
        <f t="shared" si="208"/>
        <v>17158</v>
      </c>
      <c r="EB22" s="33">
        <f t="shared" si="209"/>
        <v>2.162256673271943E-2</v>
      </c>
      <c r="EC22" s="33">
        <f t="shared" si="210"/>
        <v>0.19546800326378364</v>
      </c>
    </row>
    <row r="23" spans="1:273" s="32" customFormat="1" ht="25.5" x14ac:dyDescent="0.35">
      <c r="A23" s="24"/>
      <c r="B23" s="24"/>
      <c r="C23" s="24">
        <v>32</v>
      </c>
      <c r="D23" s="25" t="s">
        <v>293</v>
      </c>
      <c r="E23" s="72"/>
      <c r="F23" s="67">
        <v>0</v>
      </c>
      <c r="G23" s="26">
        <f>'Production data'!B9</f>
        <v>0</v>
      </c>
      <c r="H23" s="27">
        <f t="shared" si="211"/>
        <v>0</v>
      </c>
      <c r="I23" s="27">
        <f t="shared" si="0"/>
        <v>0</v>
      </c>
      <c r="J23" s="67">
        <v>36</v>
      </c>
      <c r="K23" s="26">
        <f>'Production data'!C9</f>
        <v>230</v>
      </c>
      <c r="L23" s="27">
        <f t="shared" si="212"/>
        <v>0.15652173913043479</v>
      </c>
      <c r="M23" s="27">
        <f t="shared" si="213"/>
        <v>1.4149565217391304</v>
      </c>
      <c r="N23" s="67">
        <v>50</v>
      </c>
      <c r="O23" s="26">
        <f>'Production data'!D9</f>
        <v>813</v>
      </c>
      <c r="P23" s="27">
        <f t="shared" si="214"/>
        <v>6.1500615006150061E-2</v>
      </c>
      <c r="Q23" s="27">
        <f t="shared" si="215"/>
        <v>0.55596555965559646</v>
      </c>
      <c r="R23" s="67">
        <v>72</v>
      </c>
      <c r="S23" s="26">
        <f>'Production data'!E9</f>
        <v>1030</v>
      </c>
      <c r="T23" s="27">
        <f t="shared" si="216"/>
        <v>6.9902912621359226E-2</v>
      </c>
      <c r="U23" s="27">
        <f t="shared" si="217"/>
        <v>0.63192233009708731</v>
      </c>
      <c r="V23" s="67">
        <v>68</v>
      </c>
      <c r="W23" s="26">
        <f>'Production data'!F9</f>
        <v>915</v>
      </c>
      <c r="X23" s="27">
        <f t="shared" si="218"/>
        <v>7.4316939890710379E-2</v>
      </c>
      <c r="Y23" s="27">
        <f t="shared" si="219"/>
        <v>0.67182513661202181</v>
      </c>
      <c r="Z23" s="67">
        <v>3</v>
      </c>
      <c r="AA23" s="26">
        <f>'Production data'!G9</f>
        <v>0</v>
      </c>
      <c r="AB23" s="27">
        <f t="shared" si="220"/>
        <v>0</v>
      </c>
      <c r="AC23" s="27">
        <f t="shared" si="221"/>
        <v>0</v>
      </c>
      <c r="AD23" s="67">
        <v>65</v>
      </c>
      <c r="AE23" s="26">
        <f>'Production data'!H9</f>
        <v>985</v>
      </c>
      <c r="AF23" s="27">
        <f t="shared" si="157"/>
        <v>6.5989847715736044E-2</v>
      </c>
      <c r="AG23" s="27">
        <f t="shared" si="158"/>
        <v>0.59654822335025381</v>
      </c>
      <c r="AH23" s="67">
        <v>65</v>
      </c>
      <c r="AI23" s="26">
        <f>'Production data'!I9</f>
        <v>850</v>
      </c>
      <c r="AJ23" s="27">
        <f t="shared" si="222"/>
        <v>7.6470588235294124E-2</v>
      </c>
      <c r="AK23" s="27">
        <f t="shared" si="223"/>
        <v>0.69129411764705884</v>
      </c>
      <c r="AL23" s="67">
        <v>67</v>
      </c>
      <c r="AM23" s="26">
        <f>'Production data'!J9</f>
        <v>900</v>
      </c>
      <c r="AN23" s="27">
        <f t="shared" si="224"/>
        <v>7.4444444444444438E-2</v>
      </c>
      <c r="AO23" s="27">
        <f t="shared" si="225"/>
        <v>0.67297777777777767</v>
      </c>
      <c r="AP23" s="66">
        <v>67</v>
      </c>
      <c r="AQ23" s="26">
        <f>'Production data'!K9</f>
        <v>840</v>
      </c>
      <c r="AR23" s="27">
        <f t="shared" si="226"/>
        <v>7.9761904761904756E-2</v>
      </c>
      <c r="AS23" s="27">
        <f t="shared" si="227"/>
        <v>0.72104761904761894</v>
      </c>
      <c r="AT23" s="67">
        <v>69</v>
      </c>
      <c r="AU23" s="26">
        <f>'Production data'!L9</f>
        <v>1013</v>
      </c>
      <c r="AV23" s="27">
        <f t="shared" si="228"/>
        <v>6.8114511352418555E-2</v>
      </c>
      <c r="AW23" s="27">
        <f t="shared" si="229"/>
        <v>0.61575518262586371</v>
      </c>
      <c r="AX23" s="67">
        <v>42</v>
      </c>
      <c r="AY23" s="26">
        <f>'Production data'!M9</f>
        <v>470</v>
      </c>
      <c r="AZ23" s="27">
        <f t="shared" si="230"/>
        <v>8.9361702127659579E-2</v>
      </c>
      <c r="BA23" s="27">
        <f t="shared" si="231"/>
        <v>0.80782978723404253</v>
      </c>
      <c r="BB23" s="67">
        <v>7</v>
      </c>
      <c r="BC23" s="26">
        <f>'Production data'!N9</f>
        <v>0</v>
      </c>
      <c r="BD23" s="27">
        <f t="shared" si="232"/>
        <v>0</v>
      </c>
      <c r="BE23" s="27">
        <f t="shared" si="233"/>
        <v>0</v>
      </c>
      <c r="BF23" s="67">
        <v>3</v>
      </c>
      <c r="BG23" s="26">
        <f>'Production data'!O9</f>
        <v>0</v>
      </c>
      <c r="BH23" s="27">
        <f t="shared" si="234"/>
        <v>0</v>
      </c>
      <c r="BI23" s="27">
        <f t="shared" si="235"/>
        <v>0</v>
      </c>
      <c r="BJ23" s="67">
        <v>8</v>
      </c>
      <c r="BK23" s="26">
        <f>'Production data'!P9</f>
        <v>0</v>
      </c>
      <c r="BL23" s="27">
        <f t="shared" si="236"/>
        <v>0</v>
      </c>
      <c r="BM23" s="27">
        <f t="shared" si="237"/>
        <v>0</v>
      </c>
      <c r="BN23" s="67">
        <v>7</v>
      </c>
      <c r="BO23" s="26">
        <f>'Production data'!Q9</f>
        <v>0</v>
      </c>
      <c r="BP23" s="27">
        <f t="shared" si="238"/>
        <v>0</v>
      </c>
      <c r="BQ23" s="27">
        <f t="shared" si="239"/>
        <v>0</v>
      </c>
      <c r="BR23" s="67">
        <v>35</v>
      </c>
      <c r="BS23" s="26">
        <f>'Production data'!R9</f>
        <v>0</v>
      </c>
      <c r="BT23" s="27">
        <f t="shared" si="240"/>
        <v>0</v>
      </c>
      <c r="BU23" s="27">
        <f t="shared" si="241"/>
        <v>0</v>
      </c>
      <c r="BV23" s="67">
        <v>47</v>
      </c>
      <c r="BW23" s="26">
        <f>'Production data'!S9</f>
        <v>315</v>
      </c>
      <c r="BX23" s="27">
        <f t="shared" si="242"/>
        <v>0.1492063492063492</v>
      </c>
      <c r="BY23" s="27">
        <f t="shared" si="243"/>
        <v>1.3488253968253967</v>
      </c>
      <c r="BZ23" s="67">
        <v>63</v>
      </c>
      <c r="CA23" s="26">
        <f>'Production data'!T9</f>
        <v>430</v>
      </c>
      <c r="CB23" s="27">
        <f t="shared" si="244"/>
        <v>0.14651162790697675</v>
      </c>
      <c r="CC23" s="27">
        <f t="shared" si="245"/>
        <v>1.3244651162790697</v>
      </c>
      <c r="CD23" s="67">
        <v>63</v>
      </c>
      <c r="CE23" s="26">
        <f>'Production data'!U9</f>
        <v>80</v>
      </c>
      <c r="CF23" s="27">
        <f t="shared" si="246"/>
        <v>0.78749999999999998</v>
      </c>
      <c r="CG23" s="27">
        <f t="shared" si="247"/>
        <v>7.1189999999999989</v>
      </c>
      <c r="CH23" s="66">
        <v>3</v>
      </c>
      <c r="CI23" s="26">
        <f>'Production data'!V9</f>
        <v>0</v>
      </c>
      <c r="CJ23" s="27">
        <f t="shared" si="248"/>
        <v>0</v>
      </c>
      <c r="CK23" s="27">
        <f t="shared" si="249"/>
        <v>0</v>
      </c>
      <c r="CL23" s="59">
        <v>52</v>
      </c>
      <c r="CM23" s="26">
        <f>'Production data'!W9</f>
        <v>80</v>
      </c>
      <c r="CN23" s="27">
        <f t="shared" si="250"/>
        <v>0.65</v>
      </c>
      <c r="CO23" s="27">
        <f t="shared" si="251"/>
        <v>5.8759999999999994</v>
      </c>
      <c r="CP23" s="8">
        <v>63</v>
      </c>
      <c r="CQ23" s="26">
        <f>'Production data'!X9</f>
        <v>602</v>
      </c>
      <c r="CR23" s="27">
        <f t="shared" si="252"/>
        <v>0.10465116279069768</v>
      </c>
      <c r="CS23" s="27">
        <f t="shared" si="253"/>
        <v>0.94604651162790698</v>
      </c>
      <c r="CT23" s="8">
        <v>34</v>
      </c>
      <c r="CU23" s="26">
        <f>'Production data'!Y9</f>
        <v>130</v>
      </c>
      <c r="CV23" s="27">
        <f t="shared" si="254"/>
        <v>0.26153846153846155</v>
      </c>
      <c r="CW23" s="27">
        <f t="shared" si="255"/>
        <v>2.3643076923076922</v>
      </c>
      <c r="CX23" s="8">
        <v>31</v>
      </c>
      <c r="CY23" s="26">
        <f>'Production data'!Z9</f>
        <v>0</v>
      </c>
      <c r="CZ23" s="27">
        <f t="shared" si="256"/>
        <v>0</v>
      </c>
      <c r="DA23" s="27">
        <f t="shared" si="257"/>
        <v>0</v>
      </c>
      <c r="DB23" s="63">
        <v>0</v>
      </c>
      <c r="DC23" s="26">
        <f>'Production data'!AA9</f>
        <v>0</v>
      </c>
      <c r="DD23" s="27">
        <f t="shared" si="258"/>
        <v>0</v>
      </c>
      <c r="DE23" s="27">
        <f t="shared" si="259"/>
        <v>0</v>
      </c>
      <c r="DF23" s="8">
        <v>60</v>
      </c>
      <c r="DG23" s="26">
        <f>'Production data'!AB9</f>
        <v>0</v>
      </c>
      <c r="DH23" s="27">
        <f t="shared" si="260"/>
        <v>0</v>
      </c>
      <c r="DI23" s="27">
        <f t="shared" si="261"/>
        <v>0</v>
      </c>
      <c r="DJ23" s="8">
        <v>0</v>
      </c>
      <c r="DK23" s="26">
        <f>'Production data'!AC9</f>
        <v>0</v>
      </c>
      <c r="DL23" s="27">
        <f t="shared" si="262"/>
        <v>0</v>
      </c>
      <c r="DM23" s="27">
        <f t="shared" si="263"/>
        <v>0</v>
      </c>
      <c r="DN23" s="8">
        <v>0</v>
      </c>
      <c r="DO23" s="26">
        <f>'Production data'!AD9</f>
        <v>0</v>
      </c>
      <c r="DP23" s="27">
        <f t="shared" si="264"/>
        <v>0</v>
      </c>
      <c r="DQ23" s="27">
        <f t="shared" si="265"/>
        <v>0</v>
      </c>
      <c r="DR23" s="8">
        <v>0</v>
      </c>
      <c r="DS23" s="26">
        <f>'Production data'!AE9</f>
        <v>0</v>
      </c>
      <c r="DT23" s="27">
        <f t="shared" si="203"/>
        <v>0</v>
      </c>
      <c r="DU23" s="27">
        <f t="shared" si="204"/>
        <v>0</v>
      </c>
      <c r="DV23" s="8"/>
      <c r="DW23" s="26">
        <f>'Production data'!AF9</f>
        <v>0</v>
      </c>
      <c r="DX23" s="27">
        <f t="shared" si="266"/>
        <v>0</v>
      </c>
      <c r="DY23" s="27">
        <f t="shared" si="267"/>
        <v>0</v>
      </c>
      <c r="DZ23" s="28">
        <f t="shared" si="207"/>
        <v>1080</v>
      </c>
      <c r="EA23" s="28">
        <f t="shared" si="208"/>
        <v>8698</v>
      </c>
      <c r="EB23" s="33">
        <f t="shared" si="209"/>
        <v>0.12416647505173603</v>
      </c>
      <c r="EC23" s="33">
        <f t="shared" si="210"/>
        <v>1.1224649344676936</v>
      </c>
    </row>
    <row r="24" spans="1:273" s="32" customFormat="1" ht="25.5" x14ac:dyDescent="0.35">
      <c r="A24" s="24"/>
      <c r="B24" s="24"/>
      <c r="C24" s="24">
        <v>33</v>
      </c>
      <c r="D24" s="25" t="s">
        <v>342</v>
      </c>
      <c r="E24" s="72"/>
      <c r="F24" s="67">
        <v>8</v>
      </c>
      <c r="G24" s="26">
        <f>'Production data'!B10</f>
        <v>0</v>
      </c>
      <c r="H24" s="27">
        <f t="shared" ref="H24" si="269">IF((G24=0),0,F24/G24)</f>
        <v>0</v>
      </c>
      <c r="I24" s="27">
        <f t="shared" ref="I24" si="270">H24*9.04</f>
        <v>0</v>
      </c>
      <c r="J24" s="67">
        <v>46</v>
      </c>
      <c r="K24" s="26">
        <f>'Production data'!C10</f>
        <v>698</v>
      </c>
      <c r="L24" s="27">
        <f t="shared" ref="L24" si="271">IF((K24=0),0,J24/K24)</f>
        <v>6.5902578796561598E-2</v>
      </c>
      <c r="M24" s="27">
        <f t="shared" ref="M24" si="272">L24*9.04</f>
        <v>0.59575931232091683</v>
      </c>
      <c r="N24" s="67">
        <v>54</v>
      </c>
      <c r="O24" s="26">
        <f>'Production data'!D10</f>
        <v>1133</v>
      </c>
      <c r="P24" s="27">
        <f t="shared" ref="P24" si="273">IF((O24=0),0,N24/O24)</f>
        <v>4.7661076787290382E-2</v>
      </c>
      <c r="Q24" s="27">
        <f t="shared" ref="Q24" si="274">P24*9.04</f>
        <v>0.430856134157105</v>
      </c>
      <c r="R24" s="67">
        <v>55</v>
      </c>
      <c r="S24" s="26">
        <f>'Production data'!E10</f>
        <v>1139</v>
      </c>
      <c r="T24" s="27">
        <f t="shared" ref="T24" si="275">IF((S24=0),0,R24/S24)</f>
        <v>4.8287971905179985E-2</v>
      </c>
      <c r="U24" s="27">
        <f t="shared" ref="U24" si="276">T24*9.04</f>
        <v>0.43652326602282704</v>
      </c>
      <c r="V24" s="67">
        <v>50</v>
      </c>
      <c r="W24" s="26">
        <f>'Production data'!F10</f>
        <v>1169</v>
      </c>
      <c r="X24" s="27">
        <f t="shared" ref="X24" si="277">IF((W24=0),0,V24/W24)</f>
        <v>4.2771599657827203E-2</v>
      </c>
      <c r="Y24" s="27">
        <f t="shared" ref="Y24" si="278">X24*9.04</f>
        <v>0.38665526090675789</v>
      </c>
      <c r="Z24" s="67">
        <v>1</v>
      </c>
      <c r="AA24" s="26">
        <f>'Production data'!G11</f>
        <v>0</v>
      </c>
      <c r="AB24" s="27">
        <f t="shared" ref="AB24" si="279">IF((AA24=0),0,Z24/AA24)</f>
        <v>0</v>
      </c>
      <c r="AC24" s="27">
        <f t="shared" ref="AC24" si="280">AB24*9.04</f>
        <v>0</v>
      </c>
      <c r="AD24" s="67">
        <v>28</v>
      </c>
      <c r="AE24" s="26">
        <f>'Production data'!H10</f>
        <v>0</v>
      </c>
      <c r="AF24" s="27">
        <f t="shared" ref="AF24" si="281">IF((AE24=0),0,AD24/AE24)</f>
        <v>0</v>
      </c>
      <c r="AG24" s="27">
        <f t="shared" ref="AG24" si="282">AF24*9.04</f>
        <v>0</v>
      </c>
      <c r="AH24" s="67">
        <v>32</v>
      </c>
      <c r="AI24" s="26">
        <f>'Production data'!I10</f>
        <v>433</v>
      </c>
      <c r="AJ24" s="27">
        <f t="shared" ref="AJ24" si="283">IF((AI24=0),0,AH24/AI24)</f>
        <v>7.3903002309468821E-2</v>
      </c>
      <c r="AK24" s="27">
        <f t="shared" ref="AK24" si="284">AJ24*9.04</f>
        <v>0.66808314087759813</v>
      </c>
      <c r="AL24" s="67">
        <v>58</v>
      </c>
      <c r="AM24" s="26">
        <f>'Production data'!J10</f>
        <v>1200</v>
      </c>
      <c r="AN24" s="27">
        <f t="shared" ref="AN24" si="285">IF((AM24=0),0,AL24/AM24)</f>
        <v>4.8333333333333332E-2</v>
      </c>
      <c r="AO24" s="27">
        <f t="shared" ref="AO24" si="286">AN24*9.04</f>
        <v>0.43693333333333328</v>
      </c>
      <c r="AP24" s="66">
        <v>0</v>
      </c>
      <c r="AQ24" s="26">
        <f>'Production data'!K10</f>
        <v>1170</v>
      </c>
      <c r="AR24" s="27">
        <f t="shared" ref="AR24" si="287">IF((AQ24=0),0,AP24/AQ24)</f>
        <v>0</v>
      </c>
      <c r="AS24" s="27">
        <f t="shared" ref="AS24" si="288">AR24*9.04</f>
        <v>0</v>
      </c>
      <c r="AT24" s="67">
        <v>59</v>
      </c>
      <c r="AU24" s="26">
        <f>'Production data'!L10</f>
        <v>1068</v>
      </c>
      <c r="AV24" s="27">
        <f t="shared" ref="AV24" si="289">IF((AU24=0),0,AT24/AU24)</f>
        <v>5.5243445692883898E-2</v>
      </c>
      <c r="AW24" s="27">
        <f t="shared" ref="AW24" si="290">AV24*9.04</f>
        <v>0.49940074906367038</v>
      </c>
      <c r="AX24" s="67">
        <v>56</v>
      </c>
      <c r="AY24" s="26">
        <f>'Production data'!M10</f>
        <v>1124</v>
      </c>
      <c r="AZ24" s="27">
        <f t="shared" ref="AZ24" si="291">IF((AY24=0),0,AX24/AY24)</f>
        <v>4.9822064056939501E-2</v>
      </c>
      <c r="BA24" s="27">
        <f t="shared" ref="BA24" si="292">AZ24*9.04</f>
        <v>0.45039145907473305</v>
      </c>
      <c r="BB24" s="67">
        <v>80</v>
      </c>
      <c r="BC24" s="26">
        <f>'Production data'!N10</f>
        <v>1280</v>
      </c>
      <c r="BD24" s="27">
        <f t="shared" ref="BD24" si="293">IF((BC24=0),0,BB24/BC24)</f>
        <v>6.25E-2</v>
      </c>
      <c r="BE24" s="27">
        <f t="shared" ref="BE24" si="294">BD24*9.04</f>
        <v>0.56499999999999995</v>
      </c>
      <c r="BF24" s="67">
        <v>37</v>
      </c>
      <c r="BG24" s="26">
        <f>'Production data'!O10</f>
        <v>0</v>
      </c>
      <c r="BH24" s="27">
        <f t="shared" ref="BH24" si="295">IF((BG24=0),0,BF24/BG24)</f>
        <v>0</v>
      </c>
      <c r="BI24" s="27">
        <f t="shared" ref="BI24" si="296">BH24*9.04</f>
        <v>0</v>
      </c>
      <c r="BJ24" s="67">
        <v>75</v>
      </c>
      <c r="BK24" s="26">
        <f>'Production data'!P10</f>
        <v>1106</v>
      </c>
      <c r="BL24" s="27">
        <f t="shared" ref="BL24" si="297">IF((BK24=0),0,BJ24/BK24)</f>
        <v>6.7811934900542492E-2</v>
      </c>
      <c r="BM24" s="27">
        <f t="shared" ref="BM24" si="298">BL24*9.04</f>
        <v>0.61301989150090408</v>
      </c>
      <c r="BN24" s="67">
        <v>61</v>
      </c>
      <c r="BO24" s="26">
        <f>'Production data'!Q10</f>
        <v>1140</v>
      </c>
      <c r="BP24" s="27">
        <f t="shared" ref="BP24" si="299">IF((BO24=0),0,BN24/BO24)</f>
        <v>5.3508771929824561E-2</v>
      </c>
      <c r="BQ24" s="27">
        <f t="shared" ref="BQ24" si="300">BP24*9.04</f>
        <v>0.48371929824561399</v>
      </c>
      <c r="BR24" s="67">
        <v>53</v>
      </c>
      <c r="BS24" s="26">
        <f>'Production data'!R10</f>
        <v>1225</v>
      </c>
      <c r="BT24" s="27">
        <f t="shared" ref="BT24" si="301">IF((BS24=0),0,BR24/BS24)</f>
        <v>4.3265306122448978E-2</v>
      </c>
      <c r="BU24" s="27">
        <f t="shared" ref="BU24" si="302">BT24*9.04</f>
        <v>0.39111836734693872</v>
      </c>
      <c r="BV24" s="67">
        <v>61</v>
      </c>
      <c r="BW24" s="26">
        <f>'Production data'!S10</f>
        <v>1190</v>
      </c>
      <c r="BX24" s="27">
        <f t="shared" ref="BX24" si="303">IF((BW24=0),0,BV24/BW24)</f>
        <v>5.1260504201680671E-2</v>
      </c>
      <c r="BY24" s="27">
        <f t="shared" ref="BY24" si="304">BX24*9.04</f>
        <v>0.46339495798319325</v>
      </c>
      <c r="BZ24" s="67">
        <v>68</v>
      </c>
      <c r="CA24" s="26">
        <f>'Production data'!T10</f>
        <v>675</v>
      </c>
      <c r="CB24" s="27">
        <f t="shared" ref="CB24" si="305">IF((CA24=0),0,BZ24/CA24)</f>
        <v>0.10074074074074074</v>
      </c>
      <c r="CC24" s="27">
        <f t="shared" ref="CC24" si="306">CB24*9.04</f>
        <v>0.91069629629629623</v>
      </c>
      <c r="CD24" s="67">
        <v>75</v>
      </c>
      <c r="CE24" s="26">
        <f>'Production data'!U10</f>
        <v>890</v>
      </c>
      <c r="CF24" s="27">
        <f t="shared" ref="CF24" si="307">IF((CE24=0),0,CD24/CE24)</f>
        <v>8.4269662921348312E-2</v>
      </c>
      <c r="CG24" s="27">
        <f t="shared" ref="CG24" si="308">CF24*9.04</f>
        <v>0.76179775280898865</v>
      </c>
      <c r="CH24" s="66">
        <v>35</v>
      </c>
      <c r="CI24" s="26">
        <f>'Production data'!V10</f>
        <v>425</v>
      </c>
      <c r="CJ24" s="27">
        <f t="shared" ref="CJ24" si="309">IF((CI24=0),0,CH24/CI24)</f>
        <v>8.2352941176470587E-2</v>
      </c>
      <c r="CK24" s="27">
        <f t="shared" ref="CK24" si="310">CJ24*9.04</f>
        <v>0.744470588235294</v>
      </c>
      <c r="CL24" s="66">
        <v>57</v>
      </c>
      <c r="CM24" s="26">
        <f>'Production data'!W10</f>
        <v>968</v>
      </c>
      <c r="CN24" s="27">
        <f t="shared" ref="CN24" si="311">IF((CM24=0),0,CL24/CM24)</f>
        <v>5.8884297520661155E-2</v>
      </c>
      <c r="CO24" s="27">
        <f t="shared" ref="CO24" si="312">CN24*9.04</f>
        <v>0.53231404958677675</v>
      </c>
      <c r="CP24" s="66">
        <v>56</v>
      </c>
      <c r="CQ24" s="26">
        <f>'Production data'!X10</f>
        <v>1255</v>
      </c>
      <c r="CR24" s="27">
        <f t="shared" ref="CR24" si="313">IF((CQ24=0),0,CP24/CQ24)</f>
        <v>4.4621513944223111E-2</v>
      </c>
      <c r="CS24" s="27">
        <f t="shared" ref="CS24" si="314">CR24*9.04</f>
        <v>0.40337848605577686</v>
      </c>
      <c r="CT24" s="66">
        <v>63</v>
      </c>
      <c r="CU24" s="26">
        <f>'Production data'!Y10</f>
        <v>1271</v>
      </c>
      <c r="CV24" s="27">
        <f t="shared" ref="CV24" si="315">IF((CU24=0),0,CT24/CU24)</f>
        <v>4.956726986624705E-2</v>
      </c>
      <c r="CW24" s="27">
        <f t="shared" ref="CW24" si="316">CV24*9.04</f>
        <v>0.4480881195908733</v>
      </c>
      <c r="CX24" s="66">
        <v>74</v>
      </c>
      <c r="CY24" s="26">
        <f>'Production data'!Z10</f>
        <v>1191</v>
      </c>
      <c r="CZ24" s="27">
        <f t="shared" ref="CZ24" si="317">IF((CY24=0),0,CX24/CY24)</f>
        <v>6.2132661628883291E-2</v>
      </c>
      <c r="DA24" s="27">
        <f t="shared" ref="DA24" si="318">CZ24*9.04</f>
        <v>0.56167926112510491</v>
      </c>
      <c r="DB24" s="66">
        <v>80</v>
      </c>
      <c r="DC24" s="26">
        <f>'Production data'!AA10</f>
        <v>1415</v>
      </c>
      <c r="DD24" s="27">
        <f t="shared" ref="DD24" si="319">IF((DC24=0),0,DB24/DC24)</f>
        <v>5.6537102473498232E-2</v>
      </c>
      <c r="DE24" s="27">
        <f t="shared" ref="DE24" si="320">DD24*9.04</f>
        <v>0.51109540636042394</v>
      </c>
      <c r="DF24" s="66">
        <v>66</v>
      </c>
      <c r="DG24" s="26">
        <f>'Production data'!AB10</f>
        <v>1305</v>
      </c>
      <c r="DH24" s="27">
        <f t="shared" ref="DH24" si="321">IF((DG24=0),0,DF24/DG24)</f>
        <v>5.057471264367816E-2</v>
      </c>
      <c r="DI24" s="27">
        <f t="shared" ref="DI24" si="322">DH24*9.04</f>
        <v>0.45719540229885053</v>
      </c>
      <c r="DJ24" s="66">
        <v>50</v>
      </c>
      <c r="DK24" s="26">
        <f>'Production data'!AC10</f>
        <v>1010</v>
      </c>
      <c r="DL24" s="27">
        <f t="shared" ref="DL24" si="323">IF((DK24=0),0,DJ24/DK24)</f>
        <v>4.9504950495049507E-2</v>
      </c>
      <c r="DM24" s="27">
        <f t="shared" ref="DM24" si="324">DL24*9.04</f>
        <v>0.44752475247524748</v>
      </c>
      <c r="DN24" s="66">
        <v>61</v>
      </c>
      <c r="DO24" s="26">
        <f>'Production data'!AD10</f>
        <v>1353</v>
      </c>
      <c r="DP24" s="27">
        <f t="shared" ref="DP24" si="325">IF((DO24=0),0,DN24/DO24)</f>
        <v>4.5084996304508497E-2</v>
      </c>
      <c r="DQ24" s="27">
        <f t="shared" ref="DQ24" si="326">DP24*9.04</f>
        <v>0.40756836659275675</v>
      </c>
      <c r="DR24" s="66">
        <v>54</v>
      </c>
      <c r="DS24" s="26">
        <f>'Production data'!AE10</f>
        <v>210</v>
      </c>
      <c r="DT24" s="27">
        <f t="shared" ref="DT24" si="327">IF((DS24=0),0,DR24/DS24)</f>
        <v>0.25714285714285712</v>
      </c>
      <c r="DU24" s="27">
        <f t="shared" ref="DU24" si="328">DT24*9.04</f>
        <v>2.3245714285714283</v>
      </c>
      <c r="DV24" s="66"/>
      <c r="DW24" s="26">
        <f>'Production data'!AF10</f>
        <v>0</v>
      </c>
      <c r="DX24" s="27">
        <f t="shared" ref="DX24" si="329">IF((DW24=0),0,DV24/DW24)</f>
        <v>0</v>
      </c>
      <c r="DY24" s="27">
        <f t="shared" ref="DY24" si="330">DX24*9.04</f>
        <v>0</v>
      </c>
      <c r="DZ24" s="28">
        <f t="shared" ref="DZ24" si="331">F24+J24+N24+R24+V24+Z24+AD24+AH24+AL24+AP24+AT24+AX24+BB24+BF24+BJ24+BN24+BR24+BV24+BZ24+CD24+CH24+CL24+CP24+CT24+CX24+DB24+DF24+DJ24+DN24+DR24+DV24</f>
        <v>1553</v>
      </c>
      <c r="EA24" s="28">
        <f t="shared" ref="EA24" si="332">G24+K24+O24+S24+W24+AA24+AI24+AM24+AQ24+AU24+AY24+BC24+BG24+BK24+BO24+BS24+BW24+CA24+CE24+CI24+CM24+CQ24+CU24+CY24+DC24+DG24+DK24+DO24+DS24+DW24</f>
        <v>27043</v>
      </c>
      <c r="EB24" s="33">
        <f t="shared" ref="EB24" si="333">IF((EA24=0),0,DZ24/EA24)</f>
        <v>5.7427060607181155E-2</v>
      </c>
      <c r="EC24" s="33">
        <f t="shared" ref="EC24" si="334">EB24*9.04</f>
        <v>0.51914062788891757</v>
      </c>
    </row>
    <row r="25" spans="1:273" s="32" customFormat="1" ht="25.5" x14ac:dyDescent="0.35">
      <c r="A25" s="24"/>
      <c r="B25" s="24"/>
      <c r="C25" s="24">
        <v>34</v>
      </c>
      <c r="D25" s="25" t="s">
        <v>343</v>
      </c>
      <c r="E25" s="72"/>
      <c r="F25" s="67">
        <v>8</v>
      </c>
      <c r="G25" s="26">
        <f>'Production data'!B11</f>
        <v>0</v>
      </c>
      <c r="H25" s="27">
        <f t="shared" si="211"/>
        <v>0</v>
      </c>
      <c r="I25" s="27">
        <f t="shared" si="0"/>
        <v>0</v>
      </c>
      <c r="J25" s="67">
        <v>46</v>
      </c>
      <c r="K25" s="26">
        <f>'Production data'!C11</f>
        <v>991</v>
      </c>
      <c r="L25" s="27">
        <f t="shared" si="212"/>
        <v>4.6417759838546922E-2</v>
      </c>
      <c r="M25" s="27">
        <f t="shared" si="213"/>
        <v>0.41961654894046413</v>
      </c>
      <c r="N25" s="67">
        <v>55</v>
      </c>
      <c r="O25" s="26">
        <f>'Production data'!D11</f>
        <v>1010</v>
      </c>
      <c r="P25" s="27">
        <f t="shared" si="214"/>
        <v>5.4455445544554455E-2</v>
      </c>
      <c r="Q25" s="27">
        <f t="shared" si="215"/>
        <v>0.49227722772277221</v>
      </c>
      <c r="R25" s="67">
        <v>55</v>
      </c>
      <c r="S25" s="26">
        <f>'Production data'!E11</f>
        <v>1005</v>
      </c>
      <c r="T25" s="27">
        <f t="shared" si="216"/>
        <v>5.4726368159203981E-2</v>
      </c>
      <c r="U25" s="27">
        <f t="shared" si="217"/>
        <v>0.49472636815920396</v>
      </c>
      <c r="V25" s="67">
        <v>50</v>
      </c>
      <c r="W25" s="26">
        <f>'Production data'!F11</f>
        <v>603</v>
      </c>
      <c r="X25" s="27">
        <f t="shared" si="218"/>
        <v>8.2918739635157543E-2</v>
      </c>
      <c r="Y25" s="27">
        <f t="shared" si="219"/>
        <v>0.74958540630182413</v>
      </c>
      <c r="Z25" s="67">
        <v>0</v>
      </c>
      <c r="AA25" s="26">
        <f>'Production data'!G10</f>
        <v>0</v>
      </c>
      <c r="AB25" s="27">
        <f t="shared" si="220"/>
        <v>0</v>
      </c>
      <c r="AC25" s="27">
        <f t="shared" si="221"/>
        <v>0</v>
      </c>
      <c r="AD25" s="67">
        <v>27</v>
      </c>
      <c r="AE25" s="26">
        <f>'Production data'!H11</f>
        <v>0</v>
      </c>
      <c r="AF25" s="27">
        <f t="shared" si="157"/>
        <v>0</v>
      </c>
      <c r="AG25" s="27">
        <f t="shared" si="158"/>
        <v>0</v>
      </c>
      <c r="AH25" s="67">
        <v>33</v>
      </c>
      <c r="AI25" s="26">
        <f>'Production data'!I11</f>
        <v>0</v>
      </c>
      <c r="AJ25" s="27">
        <f t="shared" si="222"/>
        <v>0</v>
      </c>
      <c r="AK25" s="27">
        <f t="shared" si="223"/>
        <v>0</v>
      </c>
      <c r="AL25" s="67">
        <v>59</v>
      </c>
      <c r="AM25" s="26">
        <f>'Production data'!J11</f>
        <v>1074</v>
      </c>
      <c r="AN25" s="27">
        <f t="shared" si="224"/>
        <v>5.493482309124767E-2</v>
      </c>
      <c r="AO25" s="27">
        <f t="shared" si="225"/>
        <v>0.4966108007448789</v>
      </c>
      <c r="AP25" s="66">
        <v>0</v>
      </c>
      <c r="AQ25" s="26">
        <f>'Production data'!K11</f>
        <v>880</v>
      </c>
      <c r="AR25" s="27">
        <f t="shared" si="226"/>
        <v>0</v>
      </c>
      <c r="AS25" s="27">
        <f t="shared" si="227"/>
        <v>0</v>
      </c>
      <c r="AT25" s="67">
        <v>59</v>
      </c>
      <c r="AU25" s="26">
        <f>'Production data'!L11</f>
        <v>1068</v>
      </c>
      <c r="AV25" s="27">
        <f t="shared" si="228"/>
        <v>5.5243445692883898E-2</v>
      </c>
      <c r="AW25" s="27">
        <f t="shared" si="229"/>
        <v>0.49940074906367038</v>
      </c>
      <c r="AX25" s="67">
        <v>56</v>
      </c>
      <c r="AY25" s="26">
        <f>'Production data'!M11</f>
        <v>520</v>
      </c>
      <c r="AZ25" s="27">
        <f t="shared" si="230"/>
        <v>0.1076923076923077</v>
      </c>
      <c r="BA25" s="27">
        <f t="shared" si="231"/>
        <v>0.97353846153846146</v>
      </c>
      <c r="BB25" s="67">
        <v>80</v>
      </c>
      <c r="BC25" s="26">
        <f>'Production data'!N11</f>
        <v>846</v>
      </c>
      <c r="BD25" s="27">
        <f t="shared" si="232"/>
        <v>9.4562647754137114E-2</v>
      </c>
      <c r="BE25" s="27">
        <f t="shared" si="233"/>
        <v>0.85484633569739943</v>
      </c>
      <c r="BF25" s="67">
        <v>37</v>
      </c>
      <c r="BG25" s="26">
        <f>'Production data'!O11</f>
        <v>567</v>
      </c>
      <c r="BH25" s="27">
        <f t="shared" si="234"/>
        <v>6.5255731922398585E-2</v>
      </c>
      <c r="BI25" s="27">
        <f t="shared" si="235"/>
        <v>0.58991181657848313</v>
      </c>
      <c r="BJ25" s="67">
        <v>76</v>
      </c>
      <c r="BK25" s="26">
        <f>'Production data'!P11</f>
        <v>1011</v>
      </c>
      <c r="BL25" s="27">
        <f t="shared" si="236"/>
        <v>7.5173095944609303E-2</v>
      </c>
      <c r="BM25" s="27">
        <f t="shared" si="237"/>
        <v>0.67956478733926806</v>
      </c>
      <c r="BN25" s="67">
        <v>61</v>
      </c>
      <c r="BO25" s="26">
        <f>'Production data'!Q11</f>
        <v>1099</v>
      </c>
      <c r="BP25" s="27">
        <f t="shared" si="238"/>
        <v>5.5505004549590536E-2</v>
      </c>
      <c r="BQ25" s="27">
        <f t="shared" si="239"/>
        <v>0.50176524112829846</v>
      </c>
      <c r="BR25" s="67">
        <v>54</v>
      </c>
      <c r="BS25" s="26">
        <f>'Production data'!R11</f>
        <v>1105</v>
      </c>
      <c r="BT25" s="27">
        <f t="shared" si="240"/>
        <v>4.8868778280542986E-2</v>
      </c>
      <c r="BU25" s="27">
        <f t="shared" si="241"/>
        <v>0.44177375565610855</v>
      </c>
      <c r="BV25" s="67">
        <v>60</v>
      </c>
      <c r="BW25" s="26">
        <f>'Production data'!S11</f>
        <v>1091</v>
      </c>
      <c r="BX25" s="27">
        <f t="shared" si="242"/>
        <v>5.4995417048579284E-2</v>
      </c>
      <c r="BY25" s="27">
        <f t="shared" si="243"/>
        <v>0.49715857011915671</v>
      </c>
      <c r="BZ25" s="67">
        <v>69</v>
      </c>
      <c r="CA25" s="26">
        <f>'Production data'!T11</f>
        <v>0</v>
      </c>
      <c r="CB25" s="27">
        <f t="shared" si="244"/>
        <v>0</v>
      </c>
      <c r="CC25" s="27">
        <f t="shared" si="245"/>
        <v>0</v>
      </c>
      <c r="CD25" s="67">
        <v>75</v>
      </c>
      <c r="CE25" s="26">
        <f>'Production data'!U11</f>
        <v>751</v>
      </c>
      <c r="CF25" s="27">
        <f t="shared" si="246"/>
        <v>9.986684420772303E-2</v>
      </c>
      <c r="CG25" s="27">
        <f t="shared" si="247"/>
        <v>0.90279627163781606</v>
      </c>
      <c r="CH25" s="66">
        <v>35</v>
      </c>
      <c r="CI25" s="26">
        <f>'Production data'!V11</f>
        <v>275</v>
      </c>
      <c r="CJ25" s="27">
        <f t="shared" si="248"/>
        <v>0.12727272727272726</v>
      </c>
      <c r="CK25" s="27">
        <f t="shared" si="249"/>
        <v>1.1505454545454543</v>
      </c>
      <c r="CL25" s="59">
        <v>56</v>
      </c>
      <c r="CM25" s="26">
        <f>'Production data'!W11</f>
        <v>865</v>
      </c>
      <c r="CN25" s="27">
        <f t="shared" si="250"/>
        <v>6.4739884393063579E-2</v>
      </c>
      <c r="CO25" s="27">
        <f t="shared" si="251"/>
        <v>0.58524855491329475</v>
      </c>
      <c r="CP25" s="8">
        <v>57</v>
      </c>
      <c r="CQ25" s="26">
        <f>'Production data'!X11</f>
        <v>1169</v>
      </c>
      <c r="CR25" s="27">
        <f t="shared" si="252"/>
        <v>4.875962360992301E-2</v>
      </c>
      <c r="CS25" s="27">
        <f t="shared" si="253"/>
        <v>0.44078699743370398</v>
      </c>
      <c r="CT25" s="8">
        <v>63</v>
      </c>
      <c r="CU25" s="26">
        <f>'Production data'!Y11</f>
        <v>1267</v>
      </c>
      <c r="CV25" s="27">
        <f t="shared" si="254"/>
        <v>4.9723756906077346E-2</v>
      </c>
      <c r="CW25" s="27">
        <f t="shared" si="255"/>
        <v>0.44950276243093917</v>
      </c>
      <c r="CX25" s="8">
        <v>73</v>
      </c>
      <c r="CY25" s="26">
        <f>'Production data'!Z11</f>
        <v>1125</v>
      </c>
      <c r="CZ25" s="27">
        <f t="shared" si="256"/>
        <v>6.4888888888888885E-2</v>
      </c>
      <c r="DA25" s="27">
        <f t="shared" si="257"/>
        <v>0.58659555555555543</v>
      </c>
      <c r="DB25" s="63">
        <v>80</v>
      </c>
      <c r="DC25" s="26">
        <f>'Production data'!AA11</f>
        <v>1395</v>
      </c>
      <c r="DD25" s="27">
        <f t="shared" si="258"/>
        <v>5.7347670250896057E-2</v>
      </c>
      <c r="DE25" s="27">
        <f t="shared" si="259"/>
        <v>0.51842293906810033</v>
      </c>
      <c r="DF25" s="8">
        <v>66</v>
      </c>
      <c r="DG25" s="26">
        <f>'Production data'!AB11</f>
        <v>1371</v>
      </c>
      <c r="DH25" s="27">
        <f t="shared" si="260"/>
        <v>4.8140043763676151E-2</v>
      </c>
      <c r="DI25" s="27">
        <f t="shared" si="261"/>
        <v>0.43518599562363236</v>
      </c>
      <c r="DJ25" s="8">
        <v>50</v>
      </c>
      <c r="DK25" s="26">
        <f>'Production data'!AC11</f>
        <v>782</v>
      </c>
      <c r="DL25" s="27">
        <f t="shared" si="262"/>
        <v>6.3938618925831206E-2</v>
      </c>
      <c r="DM25" s="27">
        <f t="shared" si="263"/>
        <v>0.57800511508951402</v>
      </c>
      <c r="DN25" s="8">
        <v>61</v>
      </c>
      <c r="DO25" s="26">
        <f>'Production data'!AD11</f>
        <v>970</v>
      </c>
      <c r="DP25" s="27">
        <f t="shared" si="264"/>
        <v>6.2886597938144329E-2</v>
      </c>
      <c r="DQ25" s="27">
        <f t="shared" si="265"/>
        <v>0.56849484536082473</v>
      </c>
      <c r="DR25" s="8">
        <v>55</v>
      </c>
      <c r="DS25" s="26">
        <f>'Production data'!AE11</f>
        <v>0</v>
      </c>
      <c r="DT25" s="27">
        <f t="shared" si="203"/>
        <v>0</v>
      </c>
      <c r="DU25" s="27">
        <f t="shared" si="204"/>
        <v>0</v>
      </c>
      <c r="DV25" s="8"/>
      <c r="DW25" s="26">
        <f>'Production data'!AF11</f>
        <v>0</v>
      </c>
      <c r="DX25" s="27">
        <f t="shared" si="266"/>
        <v>0</v>
      </c>
      <c r="DY25" s="27">
        <f t="shared" si="267"/>
        <v>0</v>
      </c>
      <c r="DZ25" s="28">
        <f t="shared" si="207"/>
        <v>1556</v>
      </c>
      <c r="EA25" s="28">
        <f t="shared" si="208"/>
        <v>22840</v>
      </c>
      <c r="EB25" s="33">
        <f t="shared" si="209"/>
        <v>6.8126094570928192E-2</v>
      </c>
      <c r="EC25" s="33">
        <f t="shared" si="210"/>
        <v>0.61585989492119075</v>
      </c>
    </row>
    <row r="26" spans="1:273" s="32" customFormat="1" ht="25.5" x14ac:dyDescent="0.35">
      <c r="A26" s="24"/>
      <c r="B26" s="24"/>
      <c r="C26" s="24"/>
      <c r="D26" s="35" t="s">
        <v>330</v>
      </c>
      <c r="E26" s="36"/>
      <c r="F26" s="37">
        <f>SUM(F20:F25)</f>
        <v>16</v>
      </c>
      <c r="G26" s="37">
        <f>SUM(G20:G25)</f>
        <v>0</v>
      </c>
      <c r="H26" s="39">
        <f t="shared" ref="H26:BQ26" si="335">SUM(H20:H25)</f>
        <v>0</v>
      </c>
      <c r="I26" s="39">
        <f t="shared" si="335"/>
        <v>0</v>
      </c>
      <c r="J26" s="37">
        <f>SUM(J20:J25)</f>
        <v>284</v>
      </c>
      <c r="K26" s="37">
        <f>SUM(K20:K25)</f>
        <v>3989</v>
      </c>
      <c r="L26" s="39">
        <f t="shared" si="335"/>
        <v>0.49492903428728241</v>
      </c>
      <c r="M26" s="39">
        <f t="shared" si="335"/>
        <v>4.4741584699570325</v>
      </c>
      <c r="N26" s="37">
        <f>SUM(N20:N25)</f>
        <v>306</v>
      </c>
      <c r="O26" s="37">
        <f>SUM(O20:O25)</f>
        <v>5371</v>
      </c>
      <c r="P26" s="39">
        <f t="shared" si="335"/>
        <v>0.34622583299016879</v>
      </c>
      <c r="Q26" s="39">
        <f t="shared" si="335"/>
        <v>3.1298815302311258</v>
      </c>
      <c r="R26" s="37">
        <f>SUM(R20:R25)</f>
        <v>348</v>
      </c>
      <c r="S26" s="37">
        <f>SUM(S20:S25)</f>
        <v>5274</v>
      </c>
      <c r="T26" s="39">
        <f t="shared" si="335"/>
        <v>0.41006010982860031</v>
      </c>
      <c r="U26" s="39">
        <f t="shared" si="335"/>
        <v>3.7069433928505466</v>
      </c>
      <c r="V26" s="37">
        <f>SUM(V20:V25)</f>
        <v>330</v>
      </c>
      <c r="W26" s="37">
        <f>SUM(W20:W25)</f>
        <v>4955</v>
      </c>
      <c r="X26" s="39">
        <f t="shared" si="335"/>
        <v>0.41429299346940945</v>
      </c>
      <c r="Y26" s="39">
        <f t="shared" si="335"/>
        <v>3.7452086609634607</v>
      </c>
      <c r="Z26" s="37">
        <f>SUM(Z20:Z25)</f>
        <v>7</v>
      </c>
      <c r="AA26" s="37">
        <f>SUM(AA20:AA25)</f>
        <v>0</v>
      </c>
      <c r="AB26" s="39">
        <f t="shared" si="335"/>
        <v>0</v>
      </c>
      <c r="AC26" s="39">
        <f t="shared" si="335"/>
        <v>0</v>
      </c>
      <c r="AD26" s="37">
        <f>SUM(AD20:AD25)</f>
        <v>273</v>
      </c>
      <c r="AE26" s="37">
        <f>SUM(AE20:AE25)</f>
        <v>3253</v>
      </c>
      <c r="AF26" s="39">
        <f t="shared" si="335"/>
        <v>0.26837080009668846</v>
      </c>
      <c r="AG26" s="39">
        <f t="shared" si="335"/>
        <v>2.4260720328740635</v>
      </c>
      <c r="AH26" s="37">
        <f>SUM(AH20:AH25)</f>
        <v>292</v>
      </c>
      <c r="AI26" s="37">
        <f>SUM(AI20:AI25)</f>
        <v>3512</v>
      </c>
      <c r="AJ26" s="39">
        <f t="shared" si="335"/>
        <v>0.36840858381528785</v>
      </c>
      <c r="AK26" s="39">
        <f t="shared" si="335"/>
        <v>3.3304135976902018</v>
      </c>
      <c r="AL26" s="37">
        <f>SUM(AL20:AL25)</f>
        <v>349</v>
      </c>
      <c r="AM26" s="37">
        <f>SUM(AM20:AM25)</f>
        <v>5484</v>
      </c>
      <c r="AN26" s="39">
        <f t="shared" si="335"/>
        <v>0.39199831515473971</v>
      </c>
      <c r="AO26" s="39">
        <f t="shared" si="335"/>
        <v>3.5436647689988465</v>
      </c>
      <c r="AP26" s="37">
        <f>SUM(AP20:AP25)</f>
        <v>234</v>
      </c>
      <c r="AQ26" s="37">
        <f>SUM(AQ20:AQ25)</f>
        <v>5173</v>
      </c>
      <c r="AR26" s="39">
        <f t="shared" si="335"/>
        <v>0.29920999937425691</v>
      </c>
      <c r="AS26" s="39">
        <f t="shared" si="335"/>
        <v>2.7048583943432822</v>
      </c>
      <c r="AT26" s="37">
        <f>SUM(AT20:AT25)</f>
        <v>355</v>
      </c>
      <c r="AU26" s="37">
        <f>SUM(AU20:AU25)</f>
        <v>5690</v>
      </c>
      <c r="AV26" s="39">
        <f t="shared" si="335"/>
        <v>0.3769485101762029</v>
      </c>
      <c r="AW26" s="39">
        <f t="shared" si="335"/>
        <v>3.4076145319928735</v>
      </c>
      <c r="AX26" s="37">
        <f>SUM(AX20:AX25)</f>
        <v>317</v>
      </c>
      <c r="AY26" s="37">
        <f>SUM(AY20:AY25)</f>
        <v>4481</v>
      </c>
      <c r="AZ26" s="39">
        <f t="shared" si="335"/>
        <v>0.45346669491619701</v>
      </c>
      <c r="BA26" s="39">
        <f t="shared" si="335"/>
        <v>4.0993389220424206</v>
      </c>
      <c r="BB26" s="37">
        <f>SUM(BB20:BB25)</f>
        <v>337</v>
      </c>
      <c r="BC26" s="37">
        <f>SUM(BC20:BC25)</f>
        <v>4535</v>
      </c>
      <c r="BD26" s="39">
        <f t="shared" si="335"/>
        <v>0.36876874987119812</v>
      </c>
      <c r="BE26" s="39">
        <f t="shared" si="335"/>
        <v>3.333669498835631</v>
      </c>
      <c r="BF26" s="37">
        <f>SUM(BF20:BF25)</f>
        <v>87</v>
      </c>
      <c r="BG26" s="37">
        <f>SUM(BG20:BG25)</f>
        <v>567</v>
      </c>
      <c r="BH26" s="39">
        <f t="shared" si="335"/>
        <v>6.5255731922398585E-2</v>
      </c>
      <c r="BI26" s="39">
        <f t="shared" si="335"/>
        <v>0.58991181657848313</v>
      </c>
      <c r="BJ26" s="37">
        <f>SUM(BJ20:BJ25)</f>
        <v>328</v>
      </c>
      <c r="BK26" s="37">
        <f>SUM(BK20:BK25)</f>
        <v>4466</v>
      </c>
      <c r="BL26" s="39">
        <f t="shared" si="335"/>
        <v>0.35882155702650553</v>
      </c>
      <c r="BM26" s="39">
        <f t="shared" si="335"/>
        <v>3.2437468755196099</v>
      </c>
      <c r="BN26" s="37">
        <f>SUM(BN20:BN25)</f>
        <v>300</v>
      </c>
      <c r="BO26" s="37">
        <f>SUM(BO20:BO25)</f>
        <v>4681</v>
      </c>
      <c r="BP26" s="39">
        <f t="shared" si="335"/>
        <v>0.31908748655312513</v>
      </c>
      <c r="BQ26" s="39">
        <f t="shared" si="335"/>
        <v>2.8845508784402516</v>
      </c>
      <c r="BR26" s="37">
        <f>SUM(BR20:BR25)</f>
        <v>313</v>
      </c>
      <c r="BS26" s="37">
        <f>SUM(BS20:BS25)</f>
        <v>4595</v>
      </c>
      <c r="BT26" s="39">
        <f t="shared" ref="BT26:EC26" si="336">SUM(BT20:BT25)</f>
        <v>0.31862415062815752</v>
      </c>
      <c r="BU26" s="39">
        <f t="shared" si="336"/>
        <v>2.8803623216785441</v>
      </c>
      <c r="BV26" s="37">
        <f>SUM(BV20:BV25)</f>
        <v>337</v>
      </c>
      <c r="BW26" s="37">
        <f>SUM(BW20:BW25)</f>
        <v>5167</v>
      </c>
      <c r="BX26" s="39">
        <f t="shared" si="336"/>
        <v>0.45266180371215176</v>
      </c>
      <c r="BY26" s="39">
        <f t="shared" si="336"/>
        <v>4.0920627055578516</v>
      </c>
      <c r="BZ26" s="37">
        <f>SUM(BZ20:BZ25)</f>
        <v>353</v>
      </c>
      <c r="CA26" s="37">
        <f>SUM(CA20:CA25)</f>
        <v>3436</v>
      </c>
      <c r="CB26" s="39">
        <f t="shared" si="336"/>
        <v>0.4441635655589144</v>
      </c>
      <c r="CC26" s="39">
        <f t="shared" si="336"/>
        <v>4.0152386326525864</v>
      </c>
      <c r="CD26" s="37">
        <f>SUM(CD20:CD25)</f>
        <v>365</v>
      </c>
      <c r="CE26" s="37">
        <f>SUM(CE20:CE25)</f>
        <v>3674</v>
      </c>
      <c r="CF26" s="39">
        <f t="shared" si="336"/>
        <v>1.205123450293434</v>
      </c>
      <c r="CG26" s="39">
        <f t="shared" si="336"/>
        <v>10.894315990652641</v>
      </c>
      <c r="CH26" s="37">
        <f>SUM(CH20:CH25)</f>
        <v>80</v>
      </c>
      <c r="CI26" s="37">
        <f>SUM(CI20:CI25)</f>
        <v>700</v>
      </c>
      <c r="CJ26" s="39">
        <f t="shared" si="336"/>
        <v>0.20962566844919783</v>
      </c>
      <c r="CK26" s="39">
        <f t="shared" si="336"/>
        <v>1.8950160427807483</v>
      </c>
      <c r="CL26" s="37">
        <f>SUM(CL20:CL25)</f>
        <v>322</v>
      </c>
      <c r="CM26" s="37">
        <f>SUM(CM20:CM25)</f>
        <v>3866</v>
      </c>
      <c r="CN26" s="39">
        <f t="shared" si="336"/>
        <v>1.0147916166295465</v>
      </c>
      <c r="CO26" s="39">
        <f t="shared" si="336"/>
        <v>9.1737162143310993</v>
      </c>
      <c r="CP26" s="37">
        <f>SUM(CP20:CP25)</f>
        <v>312</v>
      </c>
      <c r="CQ26" s="37">
        <f>SUM(CQ20:CQ25)</f>
        <v>5054</v>
      </c>
      <c r="CR26" s="39">
        <f t="shared" si="336"/>
        <v>0.39921573229750651</v>
      </c>
      <c r="CS26" s="39">
        <f t="shared" si="336"/>
        <v>3.6089102199694585</v>
      </c>
      <c r="CT26" s="37">
        <f>SUM(CT20:CT25)</f>
        <v>319</v>
      </c>
      <c r="CU26" s="37">
        <f>SUM(CU20:CU25)</f>
        <v>5062</v>
      </c>
      <c r="CV26" s="39">
        <f t="shared" si="336"/>
        <v>0.56007760861153777</v>
      </c>
      <c r="CW26" s="39">
        <f t="shared" si="336"/>
        <v>5.0631015818483025</v>
      </c>
      <c r="CX26" s="37">
        <f>SUM(CX20:CX25)</f>
        <v>309</v>
      </c>
      <c r="CY26" s="37">
        <f>SUM(CY20:CY25)</f>
        <v>4176</v>
      </c>
      <c r="CZ26" s="39">
        <f t="shared" si="336"/>
        <v>0.33831187309841737</v>
      </c>
      <c r="DA26" s="39">
        <f t="shared" si="336"/>
        <v>3.0583393328096924</v>
      </c>
      <c r="DB26" s="37">
        <f>SUM(DB20:DB25)</f>
        <v>309</v>
      </c>
      <c r="DC26" s="37">
        <f>SUM(DC20:DC25)</f>
        <v>4940</v>
      </c>
      <c r="DD26" s="39">
        <f t="shared" si="336"/>
        <v>0.32374392765397175</v>
      </c>
      <c r="DE26" s="39">
        <f t="shared" si="336"/>
        <v>2.9266451059919043</v>
      </c>
      <c r="DF26" s="37">
        <f>SUM(DF20:DF25)</f>
        <v>307</v>
      </c>
      <c r="DG26" s="37">
        <f>SUM(DG20:DG25)</f>
        <v>4122</v>
      </c>
      <c r="DH26" s="39">
        <f t="shared" si="336"/>
        <v>0.33730396802561158</v>
      </c>
      <c r="DI26" s="39">
        <f t="shared" si="336"/>
        <v>3.0492278709515288</v>
      </c>
      <c r="DJ26" s="37">
        <f>SUM(DJ20:DJ25)</f>
        <v>171</v>
      </c>
      <c r="DK26" s="37">
        <f>SUM(DK20:DK25)</f>
        <v>1792</v>
      </c>
      <c r="DL26" s="39">
        <f t="shared" si="336"/>
        <v>0.11344356942088071</v>
      </c>
      <c r="DM26" s="39">
        <f t="shared" si="336"/>
        <v>1.0255298675647615</v>
      </c>
      <c r="DN26" s="37">
        <f>SUM(DN20:DN25)</f>
        <v>237</v>
      </c>
      <c r="DO26" s="37">
        <f>SUM(DO20:DO25)</f>
        <v>4183</v>
      </c>
      <c r="DP26" s="39">
        <f t="shared" si="336"/>
        <v>0.29345546521039478</v>
      </c>
      <c r="DQ26" s="39">
        <f t="shared" si="336"/>
        <v>2.6528374055019683</v>
      </c>
      <c r="DR26" s="37">
        <f>SUM(DR20:DR25)</f>
        <v>199</v>
      </c>
      <c r="DS26" s="37">
        <f>SUM(DS20:DS25)</f>
        <v>1110</v>
      </c>
      <c r="DT26" s="39">
        <f t="shared" si="336"/>
        <v>0.55714285714285716</v>
      </c>
      <c r="DU26" s="39">
        <f t="shared" si="336"/>
        <v>5.0365714285714285</v>
      </c>
      <c r="DV26" s="37">
        <f>SUM(DV20:DV25)</f>
        <v>0</v>
      </c>
      <c r="DW26" s="37">
        <f>SUM(DW20:DW25)</f>
        <v>0</v>
      </c>
      <c r="DX26" s="39">
        <f t="shared" ref="DX26" si="337">SUM(DX20:DX25)</f>
        <v>0</v>
      </c>
      <c r="DY26" s="39">
        <f t="shared" ref="DY26" si="338">SUM(DY20:DY25)</f>
        <v>0</v>
      </c>
      <c r="DZ26" s="37">
        <f t="shared" si="336"/>
        <v>8096</v>
      </c>
      <c r="EA26" s="37">
        <f t="shared" si="336"/>
        <v>110055</v>
      </c>
      <c r="EB26" s="39">
        <f t="shared" si="336"/>
        <v>0.47742682221026267</v>
      </c>
      <c r="EC26" s="39">
        <f t="shared" si="336"/>
        <v>4.3159384727807737</v>
      </c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30"/>
      <c r="EU26" s="30"/>
      <c r="EV26" s="30"/>
      <c r="EW26" s="30"/>
      <c r="EX26" s="30"/>
      <c r="EY26" s="30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1"/>
      <c r="FX26" s="31"/>
      <c r="FY26" s="31"/>
      <c r="FZ26" s="31"/>
      <c r="GA26" s="31"/>
      <c r="GB26" s="31"/>
      <c r="GC26" s="31"/>
      <c r="GD26" s="31"/>
      <c r="GE26" s="31"/>
      <c r="GF26" s="31"/>
      <c r="GG26" s="31"/>
      <c r="GH26" s="31"/>
      <c r="GI26" s="31"/>
      <c r="GJ26" s="31"/>
      <c r="GK26" s="31"/>
      <c r="GL26" s="31"/>
      <c r="GM26" s="31"/>
      <c r="GN26" s="31"/>
      <c r="GO26" s="31"/>
      <c r="GP26" s="31"/>
      <c r="GQ26" s="31"/>
      <c r="GR26" s="31"/>
      <c r="GS26" s="31"/>
      <c r="GT26" s="31"/>
      <c r="GU26" s="31"/>
      <c r="GV26" s="31"/>
      <c r="GW26" s="31"/>
      <c r="GX26" s="31"/>
      <c r="GY26" s="31"/>
      <c r="GZ26" s="31"/>
      <c r="HA26" s="31"/>
      <c r="HB26" s="31"/>
      <c r="HC26" s="31"/>
      <c r="HD26" s="31"/>
      <c r="HE26" s="31"/>
      <c r="HF26" s="31"/>
      <c r="HG26" s="31"/>
      <c r="HH26" s="31"/>
      <c r="HI26" s="31"/>
      <c r="HJ26" s="31"/>
      <c r="HK26" s="31"/>
      <c r="HL26" s="31"/>
      <c r="HM26" s="31"/>
      <c r="HN26" s="31"/>
      <c r="HO26" s="31"/>
      <c r="HP26" s="31"/>
      <c r="HQ26" s="31"/>
      <c r="HR26" s="31"/>
      <c r="HS26" s="31"/>
      <c r="HT26" s="31"/>
      <c r="HU26" s="31"/>
      <c r="HV26" s="31"/>
      <c r="HW26" s="31"/>
      <c r="HX26" s="31"/>
      <c r="HY26" s="31"/>
      <c r="HZ26" s="31"/>
      <c r="IA26" s="31"/>
      <c r="IB26" s="31"/>
      <c r="IC26" s="31"/>
      <c r="ID26" s="31"/>
      <c r="IE26" s="31"/>
      <c r="IF26" s="31"/>
      <c r="IG26" s="31"/>
      <c r="IH26" s="31"/>
      <c r="II26" s="31"/>
      <c r="IJ26" s="31"/>
      <c r="IK26" s="31"/>
      <c r="IL26" s="31"/>
      <c r="IM26" s="31"/>
      <c r="IN26" s="31"/>
      <c r="IO26" s="31"/>
      <c r="IP26" s="31"/>
      <c r="IQ26" s="31"/>
      <c r="IR26" s="31"/>
      <c r="IS26" s="31"/>
      <c r="IT26" s="31"/>
      <c r="IU26" s="31"/>
      <c r="IV26" s="31"/>
      <c r="IW26" s="31"/>
      <c r="IX26" s="31"/>
      <c r="IY26" s="31"/>
      <c r="IZ26" s="31"/>
      <c r="JA26" s="31"/>
      <c r="JB26" s="31"/>
      <c r="JC26" s="31"/>
      <c r="JD26" s="31"/>
      <c r="JE26" s="31"/>
      <c r="JF26" s="31"/>
      <c r="JG26" s="31"/>
      <c r="JH26" s="31"/>
      <c r="JI26" s="31"/>
      <c r="JJ26" s="31"/>
      <c r="JK26" s="31"/>
      <c r="JL26" s="31"/>
      <c r="JM26" s="31"/>
    </row>
    <row r="27" spans="1:273" s="32" customFormat="1" ht="25.5" x14ac:dyDescent="0.35">
      <c r="A27" s="24"/>
      <c r="B27" s="24"/>
      <c r="C27" s="24"/>
      <c r="D27" s="25"/>
      <c r="E27" s="34"/>
      <c r="F27" s="26"/>
      <c r="G27" s="26"/>
      <c r="H27" s="27"/>
      <c r="I27" s="27"/>
      <c r="J27" s="26"/>
      <c r="K27" s="26"/>
      <c r="L27" s="27"/>
      <c r="M27" s="27"/>
      <c r="N27" s="26"/>
      <c r="O27" s="26"/>
      <c r="P27" s="27"/>
      <c r="Q27" s="27"/>
      <c r="R27" s="26"/>
      <c r="S27" s="26"/>
      <c r="T27" s="27"/>
      <c r="U27" s="27"/>
      <c r="V27" s="26"/>
      <c r="W27" s="26"/>
      <c r="X27" s="27"/>
      <c r="Y27" s="27"/>
      <c r="Z27" s="26"/>
      <c r="AA27" s="26"/>
      <c r="AB27" s="27"/>
      <c r="AC27" s="27"/>
      <c r="AD27" s="26"/>
      <c r="AE27" s="26"/>
      <c r="AF27" s="27"/>
      <c r="AG27" s="27"/>
      <c r="AH27" s="26"/>
      <c r="AI27" s="26"/>
      <c r="AJ27" s="27"/>
      <c r="AK27" s="27"/>
      <c r="AL27" s="26"/>
      <c r="AM27" s="26"/>
      <c r="AN27" s="27"/>
      <c r="AO27" s="27"/>
      <c r="AP27" s="26"/>
      <c r="AQ27" s="26"/>
      <c r="AR27" s="27"/>
      <c r="AS27" s="27"/>
      <c r="AT27" s="26"/>
      <c r="AU27" s="26"/>
      <c r="AV27" s="27"/>
      <c r="AW27" s="27"/>
      <c r="AX27" s="26"/>
      <c r="AY27" s="26"/>
      <c r="AZ27" s="27"/>
      <c r="BA27" s="27"/>
      <c r="BB27" s="26"/>
      <c r="BC27" s="26"/>
      <c r="BD27" s="27"/>
      <c r="BE27" s="27"/>
      <c r="BF27" s="26"/>
      <c r="BG27" s="26"/>
      <c r="BH27" s="27"/>
      <c r="BI27" s="27"/>
      <c r="BJ27" s="26"/>
      <c r="BK27" s="26"/>
      <c r="BL27" s="27"/>
      <c r="BM27" s="27"/>
      <c r="BN27" s="26"/>
      <c r="BO27" s="26"/>
      <c r="BP27" s="27"/>
      <c r="BQ27" s="27"/>
      <c r="BR27" s="26"/>
      <c r="BS27" s="26"/>
      <c r="BT27" s="27"/>
      <c r="BU27" s="27"/>
      <c r="BV27" s="26"/>
      <c r="BW27" s="26"/>
      <c r="BX27" s="27"/>
      <c r="BY27" s="27"/>
      <c r="BZ27" s="26"/>
      <c r="CA27" s="26"/>
      <c r="CB27" s="27"/>
      <c r="CC27" s="27"/>
      <c r="CD27" s="26"/>
      <c r="CE27" s="26"/>
      <c r="CF27" s="27"/>
      <c r="CG27" s="27"/>
      <c r="CH27" s="26"/>
      <c r="CI27" s="26"/>
      <c r="CJ27" s="27"/>
      <c r="CK27" s="27"/>
      <c r="CL27" s="26"/>
      <c r="CM27" s="26"/>
      <c r="CN27" s="27"/>
      <c r="CO27" s="27"/>
      <c r="CP27" s="26"/>
      <c r="CQ27" s="26"/>
      <c r="CR27" s="27"/>
      <c r="CS27" s="27"/>
      <c r="CT27" s="26"/>
      <c r="CU27" s="26"/>
      <c r="CV27" s="27"/>
      <c r="CW27" s="27"/>
      <c r="CX27" s="26"/>
      <c r="CY27" s="26"/>
      <c r="CZ27" s="27"/>
      <c r="DA27" s="27"/>
      <c r="DB27" s="26"/>
      <c r="DC27" s="26"/>
      <c r="DD27" s="27"/>
      <c r="DE27" s="27"/>
      <c r="DF27" s="26"/>
      <c r="DG27" s="26"/>
      <c r="DH27" s="27"/>
      <c r="DI27" s="27"/>
      <c r="DJ27" s="26"/>
      <c r="DK27" s="26"/>
      <c r="DL27" s="27"/>
      <c r="DM27" s="27"/>
      <c r="DN27" s="26"/>
      <c r="DO27" s="26"/>
      <c r="DP27" s="27"/>
      <c r="DQ27" s="27"/>
      <c r="DR27" s="26"/>
      <c r="DS27" s="26"/>
      <c r="DT27" s="27"/>
      <c r="DU27" s="27"/>
      <c r="DV27" s="26"/>
      <c r="DW27" s="26"/>
      <c r="DX27" s="27"/>
      <c r="DY27" s="27"/>
      <c r="DZ27" s="44"/>
      <c r="EA27" s="44"/>
      <c r="EB27" s="45"/>
      <c r="EC27" s="45"/>
    </row>
    <row r="28" spans="1:273" s="32" customFormat="1" ht="25.5" x14ac:dyDescent="0.35">
      <c r="A28" s="24"/>
      <c r="B28" s="24"/>
      <c r="C28" s="24">
        <v>36</v>
      </c>
      <c r="D28" s="25" t="s">
        <v>295</v>
      </c>
      <c r="E28" s="72" t="s">
        <v>280</v>
      </c>
      <c r="F28" s="66">
        <v>0</v>
      </c>
      <c r="G28" s="26">
        <f>'Production data'!B12</f>
        <v>0</v>
      </c>
      <c r="H28" s="27">
        <f t="shared" ref="H28:H33" si="339">IF((G28=0),0,F28/G28)</f>
        <v>0</v>
      </c>
      <c r="I28" s="27">
        <f t="shared" si="0"/>
        <v>0</v>
      </c>
      <c r="J28" s="66">
        <v>41</v>
      </c>
      <c r="K28" s="26">
        <f>'Production data'!C12</f>
        <v>700</v>
      </c>
      <c r="L28" s="27">
        <f t="shared" ref="L28:L33" si="340">IF((K28=0),0,J28/K28)</f>
        <v>5.8571428571428573E-2</v>
      </c>
      <c r="M28" s="27">
        <f t="shared" ref="M28:M33" si="341">L28*9.04</f>
        <v>0.52948571428571423</v>
      </c>
      <c r="N28" s="67">
        <v>34</v>
      </c>
      <c r="O28" s="26">
        <f>'Production data'!D12</f>
        <v>742</v>
      </c>
      <c r="P28" s="27">
        <f t="shared" ref="P28:P33" si="342">IF((O28=0),0,N28/O28)</f>
        <v>4.5822102425876012E-2</v>
      </c>
      <c r="Q28" s="27">
        <f t="shared" ref="Q28:Q33" si="343">P28*9.04</f>
        <v>0.41423180592991909</v>
      </c>
      <c r="R28" s="67">
        <v>1</v>
      </c>
      <c r="S28" s="26">
        <f>'Production data'!E12</f>
        <v>835</v>
      </c>
      <c r="T28" s="27">
        <f t="shared" ref="T28:T33" si="344">IF((S28=0),0,R28/S28)</f>
        <v>1.1976047904191617E-3</v>
      </c>
      <c r="U28" s="27">
        <f t="shared" ref="U28:U33" si="345">T28*9.04</f>
        <v>1.0826347305389221E-2</v>
      </c>
      <c r="V28" s="67">
        <v>37</v>
      </c>
      <c r="W28" s="26">
        <f>'Production data'!F12</f>
        <v>1223</v>
      </c>
      <c r="X28" s="27">
        <f t="shared" ref="X28:X33" si="346">IF((W28=0),0,V28/W28)</f>
        <v>3.025347506132461E-2</v>
      </c>
      <c r="Y28" s="27">
        <f t="shared" ref="Y28:Y33" si="347">X28*9.04</f>
        <v>0.27349141455437448</v>
      </c>
      <c r="Z28" s="67">
        <v>2</v>
      </c>
      <c r="AA28" s="26">
        <f>'Production data'!G12</f>
        <v>0</v>
      </c>
      <c r="AB28" s="27">
        <f t="shared" ref="AB28:AB33" si="348">IF((AA28=0),0,Z28/AA28)</f>
        <v>0</v>
      </c>
      <c r="AC28" s="27">
        <f t="shared" ref="AC28:AC33" si="349">AB28*9.04</f>
        <v>0</v>
      </c>
      <c r="AD28" s="67">
        <v>52</v>
      </c>
      <c r="AE28" s="26">
        <f>'Production data'!H12</f>
        <v>1125</v>
      </c>
      <c r="AF28" s="27">
        <f t="shared" ref="AF28:AF33" si="350">IF((AE28=0),0,AD28/AE28)</f>
        <v>4.622222222222222E-2</v>
      </c>
      <c r="AG28" s="27">
        <f t="shared" ref="AG28:AG33" si="351">AF28*9.04</f>
        <v>0.41784888888888883</v>
      </c>
      <c r="AH28" s="67">
        <v>42</v>
      </c>
      <c r="AI28" s="26">
        <f>'Production data'!I12</f>
        <v>1000</v>
      </c>
      <c r="AJ28" s="27">
        <f t="shared" ref="AJ28:AJ33" si="352">IF((AI28=0),0,AH28/AI28)</f>
        <v>4.2000000000000003E-2</v>
      </c>
      <c r="AK28" s="27">
        <f t="shared" ref="AK28:AK33" si="353">AJ28*9.04</f>
        <v>0.37967999999999996</v>
      </c>
      <c r="AL28" s="67">
        <v>17</v>
      </c>
      <c r="AM28" s="26">
        <f>'Production data'!J12</f>
        <v>497</v>
      </c>
      <c r="AN28" s="27">
        <f t="shared" ref="AN28:AN33" si="354">IF((AM28=0),0,AL28/AM28)</f>
        <v>3.4205231388329982E-2</v>
      </c>
      <c r="AO28" s="27">
        <f t="shared" ref="AO28:AO33" si="355">AN28*9.04</f>
        <v>0.309215291750503</v>
      </c>
      <c r="AP28" s="66">
        <v>22</v>
      </c>
      <c r="AQ28" s="26">
        <f>'Production data'!K12</f>
        <v>436</v>
      </c>
      <c r="AR28" s="27">
        <f t="shared" ref="AR28:AR33" si="356">IF((AQ28=0),0,AP28/AQ28)</f>
        <v>5.0458715596330278E-2</v>
      </c>
      <c r="AS28" s="27">
        <f t="shared" ref="AS28:AS33" si="357">AR28*9.04</f>
        <v>0.45614678899082567</v>
      </c>
      <c r="AT28" s="67">
        <v>40</v>
      </c>
      <c r="AU28" s="26">
        <f>'Production data'!L12</f>
        <v>214</v>
      </c>
      <c r="AV28" s="27">
        <f t="shared" ref="AV28:AV33" si="358">IF((AU28=0),0,AT28/AU28)</f>
        <v>0.18691588785046728</v>
      </c>
      <c r="AW28" s="27">
        <f t="shared" ref="AW28:AW33" si="359">AV28*9.04</f>
        <v>1.6897196261682241</v>
      </c>
      <c r="AX28" s="56">
        <v>15</v>
      </c>
      <c r="AY28" s="26">
        <f>'Production data'!M12</f>
        <v>380</v>
      </c>
      <c r="AZ28" s="27">
        <f t="shared" ref="AZ28:AZ33" si="360">IF((AY28=0),0,AX28/AY28)</f>
        <v>3.9473684210526314E-2</v>
      </c>
      <c r="BA28" s="27">
        <f t="shared" ref="BA28:BA33" si="361">AZ28*9.04</f>
        <v>0.35684210526315785</v>
      </c>
      <c r="BB28" s="67">
        <v>39</v>
      </c>
      <c r="BC28" s="26">
        <f>'Production data'!N12</f>
        <v>1208</v>
      </c>
      <c r="BD28" s="27">
        <f t="shared" ref="BD28:BD33" si="362">IF((BC28=0),0,BB28/BC28)</f>
        <v>3.2284768211920528E-2</v>
      </c>
      <c r="BE28" s="27">
        <f t="shared" ref="BE28:BE33" si="363">BD28*9.04</f>
        <v>0.29185430463576156</v>
      </c>
      <c r="BF28" s="67">
        <v>16</v>
      </c>
      <c r="BG28" s="26">
        <f>'Production data'!O12</f>
        <v>450</v>
      </c>
      <c r="BH28" s="27">
        <f t="shared" ref="BH28:BH33" si="364">IF((BG28=0),0,BF28/BG28)</f>
        <v>3.5555555555555556E-2</v>
      </c>
      <c r="BI28" s="27">
        <f t="shared" ref="BI28:BI33" si="365">BH28*9.04</f>
        <v>0.32142222222222216</v>
      </c>
      <c r="BJ28" s="67">
        <v>18</v>
      </c>
      <c r="BK28" s="26">
        <f>'Production data'!P12</f>
        <v>543</v>
      </c>
      <c r="BL28" s="27">
        <f t="shared" ref="BL28:BL33" si="366">IF((BK28=0),0,BJ28/BK28)</f>
        <v>3.3149171270718231E-2</v>
      </c>
      <c r="BM28" s="27">
        <f t="shared" ref="BM28:BM33" si="367">BL28*9.04</f>
        <v>0.2996685082872928</v>
      </c>
      <c r="BN28" s="67">
        <v>48</v>
      </c>
      <c r="BO28" s="26">
        <f>'Production data'!Q12</f>
        <v>1100</v>
      </c>
      <c r="BP28" s="27">
        <f t="shared" ref="BP28:BP33" si="368">IF((BO28=0),0,BN28/BO28)</f>
        <v>4.363636363636364E-2</v>
      </c>
      <c r="BQ28" s="27">
        <f t="shared" ref="BQ28:BQ33" si="369">BP28*9.04</f>
        <v>0.39447272727272725</v>
      </c>
      <c r="BR28" s="67">
        <v>16</v>
      </c>
      <c r="BS28" s="26">
        <f>'Production data'!R12</f>
        <v>440</v>
      </c>
      <c r="BT28" s="27">
        <f t="shared" ref="BT28:BT33" si="370">IF((BS28=0),0,BR28/BS28)</f>
        <v>3.6363636363636362E-2</v>
      </c>
      <c r="BU28" s="27">
        <f t="shared" ref="BU28:BU33" si="371">BT28*9.04</f>
        <v>0.3287272727272727</v>
      </c>
      <c r="BV28" s="67">
        <v>20</v>
      </c>
      <c r="BW28" s="26">
        <f>'Production data'!S12</f>
        <v>374</v>
      </c>
      <c r="BX28" s="27">
        <f t="shared" ref="BX28:BX33" si="372">IF((BW28=0),0,BV28/BW28)</f>
        <v>5.3475935828877004E-2</v>
      </c>
      <c r="BY28" s="27">
        <f t="shared" ref="BY28:BY33" si="373">BX28*9.04</f>
        <v>0.48342245989304805</v>
      </c>
      <c r="BZ28" s="67">
        <v>16</v>
      </c>
      <c r="CA28" s="26">
        <f>'Production data'!T12</f>
        <v>0</v>
      </c>
      <c r="CB28" s="27">
        <f t="shared" ref="CB28:CB33" si="374">IF((CA28=0),0,BZ28/CA28)</f>
        <v>0</v>
      </c>
      <c r="CC28" s="27">
        <f t="shared" ref="CC28:CC33" si="375">CB28*9.04</f>
        <v>0</v>
      </c>
      <c r="CD28" s="66">
        <v>41</v>
      </c>
      <c r="CE28" s="26">
        <f>'Production data'!U12</f>
        <v>1155</v>
      </c>
      <c r="CF28" s="27">
        <f t="shared" ref="CF28:CF33" si="376">IF((CE28=0),0,CD28/CE28)</f>
        <v>3.54978354978355E-2</v>
      </c>
      <c r="CG28" s="27">
        <f t="shared" ref="CG28:CG33" si="377">CF28*9.04</f>
        <v>0.32090043290043291</v>
      </c>
      <c r="CH28" s="66">
        <v>12</v>
      </c>
      <c r="CI28" s="26">
        <f>'Production data'!V12</f>
        <v>264</v>
      </c>
      <c r="CJ28" s="27">
        <f t="shared" ref="CJ28:CJ33" si="378">IF((CI28=0),0,CH28/CI28)</f>
        <v>4.5454545454545456E-2</v>
      </c>
      <c r="CK28" s="27">
        <f t="shared" ref="CK28:CK33" si="379">CJ28*9.04</f>
        <v>0.41090909090909089</v>
      </c>
      <c r="CL28" s="60">
        <v>21</v>
      </c>
      <c r="CM28" s="26">
        <f>'Production data'!W12</f>
        <v>820</v>
      </c>
      <c r="CN28" s="27">
        <f t="shared" ref="CN28:CN33" si="380">IF((CM28=0),0,CL28/CM28)</f>
        <v>2.5609756097560974E-2</v>
      </c>
      <c r="CO28" s="27">
        <f t="shared" ref="CO28:CO33" si="381">CN28*9.04</f>
        <v>0.23151219512195118</v>
      </c>
      <c r="CP28" s="8">
        <v>57</v>
      </c>
      <c r="CQ28" s="26">
        <f>'Production data'!X12</f>
        <v>1440</v>
      </c>
      <c r="CR28" s="27">
        <f t="shared" ref="CR28:CR33" si="382">IF((CQ28=0),0,CP28/CQ28)</f>
        <v>3.9583333333333331E-2</v>
      </c>
      <c r="CS28" s="27">
        <f t="shared" ref="CS28:CS33" si="383">CR28*9.04</f>
        <v>0.35783333333333328</v>
      </c>
      <c r="CT28" s="8">
        <v>32</v>
      </c>
      <c r="CU28" s="26">
        <f>'Production data'!Y12</f>
        <v>890</v>
      </c>
      <c r="CV28" s="27">
        <f t="shared" ref="CV28:CV33" si="384">IF((CU28=0),0,CT28/CU28)</f>
        <v>3.5955056179775284E-2</v>
      </c>
      <c r="CW28" s="27">
        <f t="shared" ref="CW28:CW33" si="385">CV28*9.04</f>
        <v>0.32503370786516855</v>
      </c>
      <c r="CX28" s="8">
        <v>0</v>
      </c>
      <c r="CY28" s="26">
        <f>'Production data'!Z12</f>
        <v>0</v>
      </c>
      <c r="CZ28" s="27">
        <f t="shared" ref="CZ28:CZ33" si="386">IF((CY28=0),0,CX28/CY28)</f>
        <v>0</v>
      </c>
      <c r="DA28" s="27">
        <f t="shared" ref="DA28:DA33" si="387">CZ28*9.04</f>
        <v>0</v>
      </c>
      <c r="DB28" s="63">
        <v>32</v>
      </c>
      <c r="DC28" s="26">
        <f>'Production data'!AA12</f>
        <v>700</v>
      </c>
      <c r="DD28" s="27">
        <f t="shared" ref="DD28:DD33" si="388">IF((DC28=0),0,DB28/DC28)</f>
        <v>4.5714285714285714E-2</v>
      </c>
      <c r="DE28" s="27">
        <f t="shared" ref="DE28:DE33" si="389">DD28*9.04</f>
        <v>0.41325714285714282</v>
      </c>
      <c r="DF28" s="8">
        <v>41</v>
      </c>
      <c r="DG28" s="26">
        <f>'Production data'!AB12</f>
        <v>980</v>
      </c>
      <c r="DH28" s="27">
        <f t="shared" ref="DH28:DH33" si="390">IF((DG28=0),0,DF28/DG28)</f>
        <v>4.1836734693877553E-2</v>
      </c>
      <c r="DI28" s="27">
        <f t="shared" ref="DI28:DI33" si="391">DH28*9.04</f>
        <v>0.37820408163265307</v>
      </c>
      <c r="DJ28" s="8">
        <v>0</v>
      </c>
      <c r="DK28" s="26">
        <f>'Production data'!AC12</f>
        <v>0</v>
      </c>
      <c r="DL28" s="27">
        <f t="shared" ref="DL28:DL33" si="392">IF((DK28=0),0,DJ28/DK28)</f>
        <v>0</v>
      </c>
      <c r="DM28" s="27">
        <f t="shared" ref="DM28:DM33" si="393">DL28*9.04</f>
        <v>0</v>
      </c>
      <c r="DN28" s="66">
        <v>41</v>
      </c>
      <c r="DO28" s="26">
        <f>'Production data'!AD12</f>
        <v>995</v>
      </c>
      <c r="DP28" s="27">
        <f t="shared" ref="DP28:DP33" si="394">IF((DO28=0),0,DN28/DO28)</f>
        <v>4.1206030150753768E-2</v>
      </c>
      <c r="DQ28" s="27">
        <f t="shared" ref="DQ28:DQ33" si="395">DP28*9.04</f>
        <v>0.37250251256281403</v>
      </c>
      <c r="DR28" s="8">
        <v>2</v>
      </c>
      <c r="DS28" s="26">
        <f>'Production data'!AE12</f>
        <v>0</v>
      </c>
      <c r="DT28" s="27">
        <f t="shared" ref="DT28:DT33" si="396">IF((DS28=0),0,DR28/DS28)</f>
        <v>0</v>
      </c>
      <c r="DU28" s="27">
        <f t="shared" ref="DU28:DU33" si="397">DT28*9.04</f>
        <v>0</v>
      </c>
      <c r="DV28" s="8"/>
      <c r="DW28" s="26">
        <f>'Production data'!AF12</f>
        <v>0</v>
      </c>
      <c r="DX28" s="27">
        <f t="shared" ref="DX28:DX33" si="398">IF((DW28=0),0,DV28/DW28)</f>
        <v>0</v>
      </c>
      <c r="DY28" s="27">
        <f t="shared" ref="DY28:DY33" si="399">DX28*9.04</f>
        <v>0</v>
      </c>
      <c r="DZ28" s="28">
        <f t="shared" ref="DZ28:DZ33" si="400">F28+J28+N28+R28+V28+Z28+AD28+AH28+AL28+AP28+AT28+AX28+BB28+BF28+BJ28+BN28+BR28+BV28+BZ28+CD28+CH28+CL28+CP28+CT28+CX28+DB28+DF28+DJ28+DN28+DR28+DV28</f>
        <v>755</v>
      </c>
      <c r="EA28" s="28">
        <f t="shared" ref="EA28:EA33" si="401">G28+K28+O28+S28+W28+AA28+AI28+AM28+AQ28+AU28+AY28+BC28+BG28+BK28+BO28+BS28+BW28+CA28+CE28+CI28+CM28+CQ28+CU28+CY28+DC28+DG28+DK28+DO28+DS28+DW28</f>
        <v>17386</v>
      </c>
      <c r="EB28" s="33">
        <f t="shared" ref="EB28:EB33" si="402">IF((EA28=0),0,DZ28/EA28)</f>
        <v>4.3425744852179912E-2</v>
      </c>
      <c r="EC28" s="33">
        <f t="shared" ref="EC28:EC33" si="403">EB28*9.04</f>
        <v>0.39256873346370635</v>
      </c>
    </row>
    <row r="29" spans="1:273" s="32" customFormat="1" ht="25.5" x14ac:dyDescent="0.35">
      <c r="A29" s="24"/>
      <c r="B29" s="24"/>
      <c r="C29" s="24">
        <v>37</v>
      </c>
      <c r="D29" s="25" t="s">
        <v>308</v>
      </c>
      <c r="E29" s="72"/>
      <c r="F29" s="66">
        <v>0</v>
      </c>
      <c r="G29" s="26">
        <f>G28</f>
        <v>0</v>
      </c>
      <c r="H29" s="27">
        <f t="shared" si="339"/>
        <v>0</v>
      </c>
      <c r="I29" s="27">
        <f t="shared" si="0"/>
        <v>0</v>
      </c>
      <c r="J29" s="66">
        <v>5</v>
      </c>
      <c r="K29" s="26">
        <f>K28</f>
        <v>700</v>
      </c>
      <c r="L29" s="27">
        <f t="shared" si="340"/>
        <v>7.1428571428571426E-3</v>
      </c>
      <c r="M29" s="27">
        <f t="shared" si="341"/>
        <v>6.4571428571428557E-2</v>
      </c>
      <c r="N29" s="67">
        <v>8</v>
      </c>
      <c r="O29" s="26">
        <f>O28</f>
        <v>742</v>
      </c>
      <c r="P29" s="27">
        <f t="shared" si="342"/>
        <v>1.078167115902965E-2</v>
      </c>
      <c r="Q29" s="27">
        <f t="shared" si="343"/>
        <v>9.7466307277628034E-2</v>
      </c>
      <c r="R29" s="67">
        <v>9</v>
      </c>
      <c r="S29" s="26">
        <f>S28</f>
        <v>835</v>
      </c>
      <c r="T29" s="27">
        <f t="shared" si="344"/>
        <v>1.0778443113772455E-2</v>
      </c>
      <c r="U29" s="27">
        <f t="shared" si="345"/>
        <v>9.7437125748502981E-2</v>
      </c>
      <c r="V29" s="67">
        <v>9</v>
      </c>
      <c r="W29" s="26">
        <f>W28</f>
        <v>1223</v>
      </c>
      <c r="X29" s="27">
        <f t="shared" si="346"/>
        <v>7.3589533932951756E-3</v>
      </c>
      <c r="Y29" s="27">
        <f t="shared" si="347"/>
        <v>6.6524938675388376E-2</v>
      </c>
      <c r="Z29" s="67">
        <v>1</v>
      </c>
      <c r="AA29" s="26">
        <f>AA28</f>
        <v>0</v>
      </c>
      <c r="AB29" s="27">
        <f t="shared" si="348"/>
        <v>0</v>
      </c>
      <c r="AC29" s="27">
        <f t="shared" si="349"/>
        <v>0</v>
      </c>
      <c r="AD29" s="67">
        <v>8</v>
      </c>
      <c r="AE29" s="26">
        <f>AE28</f>
        <v>1125</v>
      </c>
      <c r="AF29" s="27">
        <f t="shared" si="350"/>
        <v>7.1111111111111115E-3</v>
      </c>
      <c r="AG29" s="27">
        <f t="shared" si="351"/>
        <v>6.4284444444444436E-2</v>
      </c>
      <c r="AH29" s="67">
        <v>8</v>
      </c>
      <c r="AI29" s="26">
        <f>AI28</f>
        <v>1000</v>
      </c>
      <c r="AJ29" s="27">
        <f t="shared" si="352"/>
        <v>8.0000000000000002E-3</v>
      </c>
      <c r="AK29" s="27">
        <f t="shared" si="353"/>
        <v>7.2319999999999995E-2</v>
      </c>
      <c r="AL29" s="67">
        <v>9</v>
      </c>
      <c r="AM29" s="26">
        <f>AM28</f>
        <v>497</v>
      </c>
      <c r="AN29" s="27">
        <f t="shared" si="354"/>
        <v>1.8108651911468814E-2</v>
      </c>
      <c r="AO29" s="27">
        <f t="shared" si="355"/>
        <v>0.16370221327967807</v>
      </c>
      <c r="AP29" s="66">
        <v>9</v>
      </c>
      <c r="AQ29" s="26">
        <f>AQ28</f>
        <v>436</v>
      </c>
      <c r="AR29" s="27">
        <f t="shared" si="356"/>
        <v>2.0642201834862386E-2</v>
      </c>
      <c r="AS29" s="27">
        <f t="shared" si="357"/>
        <v>0.18660550458715597</v>
      </c>
      <c r="AT29" s="67">
        <v>9</v>
      </c>
      <c r="AU29" s="26">
        <f>AU28</f>
        <v>214</v>
      </c>
      <c r="AV29" s="27">
        <f t="shared" si="358"/>
        <v>4.2056074766355138E-2</v>
      </c>
      <c r="AW29" s="27">
        <f t="shared" si="359"/>
        <v>0.38018691588785042</v>
      </c>
      <c r="AX29" s="56">
        <v>8</v>
      </c>
      <c r="AY29" s="26">
        <f>AY28</f>
        <v>380</v>
      </c>
      <c r="AZ29" s="27">
        <f t="shared" si="360"/>
        <v>2.1052631578947368E-2</v>
      </c>
      <c r="BA29" s="27">
        <f t="shared" si="361"/>
        <v>0.19031578947368419</v>
      </c>
      <c r="BB29" s="67">
        <v>9</v>
      </c>
      <c r="BC29" s="26">
        <f>BC28</f>
        <v>1208</v>
      </c>
      <c r="BD29" s="27">
        <f t="shared" si="362"/>
        <v>7.4503311258278145E-3</v>
      </c>
      <c r="BE29" s="27">
        <f t="shared" si="363"/>
        <v>6.7350993377483431E-2</v>
      </c>
      <c r="BF29" s="67">
        <v>4</v>
      </c>
      <c r="BG29" s="26">
        <f>BG28</f>
        <v>450</v>
      </c>
      <c r="BH29" s="27">
        <f t="shared" si="364"/>
        <v>8.8888888888888889E-3</v>
      </c>
      <c r="BI29" s="27">
        <f t="shared" si="365"/>
        <v>8.0355555555555541E-2</v>
      </c>
      <c r="BJ29" s="67">
        <v>9</v>
      </c>
      <c r="BK29" s="26">
        <f>BK28</f>
        <v>543</v>
      </c>
      <c r="BL29" s="27">
        <f t="shared" si="366"/>
        <v>1.6574585635359115E-2</v>
      </c>
      <c r="BM29" s="27">
        <f t="shared" si="367"/>
        <v>0.1498342541436464</v>
      </c>
      <c r="BN29" s="67">
        <v>8</v>
      </c>
      <c r="BO29" s="26">
        <f>BO28</f>
        <v>1100</v>
      </c>
      <c r="BP29" s="27">
        <f t="shared" si="368"/>
        <v>7.2727272727272727E-3</v>
      </c>
      <c r="BQ29" s="27">
        <f t="shared" si="369"/>
        <v>6.5745454545454537E-2</v>
      </c>
      <c r="BR29" s="67">
        <v>9</v>
      </c>
      <c r="BS29" s="26">
        <f>BS28</f>
        <v>440</v>
      </c>
      <c r="BT29" s="27">
        <f t="shared" si="370"/>
        <v>2.0454545454545454E-2</v>
      </c>
      <c r="BU29" s="27">
        <f t="shared" si="371"/>
        <v>0.18490909090909088</v>
      </c>
      <c r="BV29" s="67">
        <v>9</v>
      </c>
      <c r="BW29" s="26">
        <f>BW28</f>
        <v>374</v>
      </c>
      <c r="BX29" s="27">
        <f t="shared" si="372"/>
        <v>2.4064171122994651E-2</v>
      </c>
      <c r="BY29" s="27">
        <f t="shared" si="373"/>
        <v>0.21754010695187162</v>
      </c>
      <c r="BZ29" s="67">
        <v>10</v>
      </c>
      <c r="CA29" s="26">
        <f>CA28</f>
        <v>0</v>
      </c>
      <c r="CB29" s="27">
        <f t="shared" si="374"/>
        <v>0</v>
      </c>
      <c r="CC29" s="27">
        <f t="shared" si="375"/>
        <v>0</v>
      </c>
      <c r="CD29" s="66">
        <v>12</v>
      </c>
      <c r="CE29" s="26">
        <f>CE28</f>
        <v>1155</v>
      </c>
      <c r="CF29" s="27">
        <f t="shared" si="376"/>
        <v>1.038961038961039E-2</v>
      </c>
      <c r="CG29" s="27">
        <f t="shared" si="377"/>
        <v>9.3922077922077907E-2</v>
      </c>
      <c r="CH29" s="66">
        <v>3</v>
      </c>
      <c r="CI29" s="26">
        <f>CI28</f>
        <v>264</v>
      </c>
      <c r="CJ29" s="27">
        <f t="shared" si="378"/>
        <v>1.1363636363636364E-2</v>
      </c>
      <c r="CK29" s="27">
        <f t="shared" si="379"/>
        <v>0.10272727272727272</v>
      </c>
      <c r="CL29" s="60">
        <v>12</v>
      </c>
      <c r="CM29" s="26">
        <f>CM28</f>
        <v>820</v>
      </c>
      <c r="CN29" s="27">
        <f t="shared" si="380"/>
        <v>1.4634146341463415E-2</v>
      </c>
      <c r="CO29" s="27">
        <f t="shared" si="381"/>
        <v>0.13229268292682927</v>
      </c>
      <c r="CP29" s="8">
        <v>13</v>
      </c>
      <c r="CQ29" s="26">
        <f>CQ28</f>
        <v>1440</v>
      </c>
      <c r="CR29" s="27">
        <f t="shared" si="382"/>
        <v>9.0277777777777769E-3</v>
      </c>
      <c r="CS29" s="27">
        <f t="shared" si="383"/>
        <v>8.1611111111111093E-2</v>
      </c>
      <c r="CT29" s="8">
        <v>11</v>
      </c>
      <c r="CU29" s="26">
        <f>CU28</f>
        <v>890</v>
      </c>
      <c r="CV29" s="27">
        <f t="shared" si="384"/>
        <v>1.2359550561797753E-2</v>
      </c>
      <c r="CW29" s="27">
        <f t="shared" si="385"/>
        <v>0.11173033707865168</v>
      </c>
      <c r="CX29" s="8">
        <v>9</v>
      </c>
      <c r="CY29" s="26">
        <f>CY28</f>
        <v>0</v>
      </c>
      <c r="CZ29" s="27">
        <f t="shared" si="386"/>
        <v>0</v>
      </c>
      <c r="DA29" s="27">
        <f t="shared" si="387"/>
        <v>0</v>
      </c>
      <c r="DB29" s="63">
        <v>11</v>
      </c>
      <c r="DC29" s="26">
        <f>DC28</f>
        <v>700</v>
      </c>
      <c r="DD29" s="27">
        <f t="shared" si="388"/>
        <v>1.5714285714285715E-2</v>
      </c>
      <c r="DE29" s="27">
        <f t="shared" si="389"/>
        <v>0.14205714285714285</v>
      </c>
      <c r="DF29" s="8">
        <v>12</v>
      </c>
      <c r="DG29" s="26">
        <f>DG28</f>
        <v>980</v>
      </c>
      <c r="DH29" s="27">
        <f t="shared" si="390"/>
        <v>1.2244897959183673E-2</v>
      </c>
      <c r="DI29" s="27">
        <f t="shared" si="391"/>
        <v>0.11069387755102039</v>
      </c>
      <c r="DJ29" s="8">
        <v>5</v>
      </c>
      <c r="DK29" s="26">
        <f>DK28</f>
        <v>0</v>
      </c>
      <c r="DL29" s="27">
        <f t="shared" si="392"/>
        <v>0</v>
      </c>
      <c r="DM29" s="27">
        <f t="shared" si="393"/>
        <v>0</v>
      </c>
      <c r="DN29" s="66">
        <v>16</v>
      </c>
      <c r="DO29" s="26">
        <f>DO28</f>
        <v>995</v>
      </c>
      <c r="DP29" s="27">
        <f t="shared" si="394"/>
        <v>1.6080402010050253E-2</v>
      </c>
      <c r="DQ29" s="27">
        <f t="shared" si="395"/>
        <v>0.14536683417085428</v>
      </c>
      <c r="DR29" s="8">
        <v>5</v>
      </c>
      <c r="DS29" s="26">
        <f>DS28</f>
        <v>0</v>
      </c>
      <c r="DT29" s="27">
        <f t="shared" si="396"/>
        <v>0</v>
      </c>
      <c r="DU29" s="27">
        <f t="shared" si="397"/>
        <v>0</v>
      </c>
      <c r="DV29" s="8"/>
      <c r="DW29" s="26">
        <f>DW28</f>
        <v>0</v>
      </c>
      <c r="DX29" s="27">
        <f t="shared" si="398"/>
        <v>0</v>
      </c>
      <c r="DY29" s="27">
        <f t="shared" si="399"/>
        <v>0</v>
      </c>
      <c r="DZ29" s="28">
        <f t="shared" si="400"/>
        <v>250</v>
      </c>
      <c r="EA29" s="28">
        <f t="shared" si="401"/>
        <v>17386</v>
      </c>
      <c r="EB29" s="33">
        <f t="shared" si="402"/>
        <v>1.4379385712642356E-2</v>
      </c>
      <c r="EC29" s="33">
        <f t="shared" si="403"/>
        <v>0.12998964684228689</v>
      </c>
    </row>
    <row r="30" spans="1:273" s="32" customFormat="1" ht="25.5" x14ac:dyDescent="0.35">
      <c r="A30" s="24"/>
      <c r="B30" s="24"/>
      <c r="C30" s="24">
        <v>39</v>
      </c>
      <c r="D30" s="25" t="s">
        <v>297</v>
      </c>
      <c r="E30" s="72"/>
      <c r="F30" s="67">
        <v>0</v>
      </c>
      <c r="G30" s="26">
        <f>'Production data'!B13</f>
        <v>0</v>
      </c>
      <c r="H30" s="27">
        <f t="shared" si="339"/>
        <v>0</v>
      </c>
      <c r="I30" s="27">
        <f t="shared" si="0"/>
        <v>0</v>
      </c>
      <c r="J30" s="67">
        <v>11</v>
      </c>
      <c r="K30" s="26">
        <f>'Production data'!C13</f>
        <v>0</v>
      </c>
      <c r="L30" s="27">
        <f t="shared" si="340"/>
        <v>0</v>
      </c>
      <c r="M30" s="27">
        <f t="shared" si="341"/>
        <v>0</v>
      </c>
      <c r="N30" s="67">
        <v>9</v>
      </c>
      <c r="O30" s="26">
        <f>'Production data'!D13</f>
        <v>0</v>
      </c>
      <c r="P30" s="27">
        <f t="shared" si="342"/>
        <v>0</v>
      </c>
      <c r="Q30" s="27">
        <f t="shared" si="343"/>
        <v>0</v>
      </c>
      <c r="R30" s="67">
        <v>6</v>
      </c>
      <c r="S30" s="26">
        <f>'Production data'!E13</f>
        <v>0</v>
      </c>
      <c r="T30" s="27">
        <f t="shared" si="344"/>
        <v>0</v>
      </c>
      <c r="U30" s="27">
        <f t="shared" si="345"/>
        <v>0</v>
      </c>
      <c r="V30" s="67">
        <v>3</v>
      </c>
      <c r="W30" s="26">
        <f>'Production data'!F13</f>
        <v>0</v>
      </c>
      <c r="X30" s="27">
        <f t="shared" si="346"/>
        <v>0</v>
      </c>
      <c r="Y30" s="27">
        <f t="shared" si="347"/>
        <v>0</v>
      </c>
      <c r="Z30" s="67">
        <v>0</v>
      </c>
      <c r="AA30" s="26">
        <f>'Production data'!G13</f>
        <v>0</v>
      </c>
      <c r="AB30" s="27">
        <f t="shared" si="348"/>
        <v>0</v>
      </c>
      <c r="AC30" s="27">
        <f t="shared" si="349"/>
        <v>0</v>
      </c>
      <c r="AD30" s="67">
        <v>0</v>
      </c>
      <c r="AE30" s="26">
        <f>'Production data'!H13</f>
        <v>0</v>
      </c>
      <c r="AF30" s="27">
        <f t="shared" si="350"/>
        <v>0</v>
      </c>
      <c r="AG30" s="27">
        <f t="shared" si="351"/>
        <v>0</v>
      </c>
      <c r="AH30" s="67">
        <v>9</v>
      </c>
      <c r="AI30" s="26">
        <f>'Production data'!I13</f>
        <v>0</v>
      </c>
      <c r="AJ30" s="27">
        <f t="shared" si="352"/>
        <v>0</v>
      </c>
      <c r="AK30" s="27">
        <f t="shared" si="353"/>
        <v>0</v>
      </c>
      <c r="AL30" s="67">
        <v>13</v>
      </c>
      <c r="AM30" s="26">
        <f>'Production data'!J13</f>
        <v>0</v>
      </c>
      <c r="AN30" s="27">
        <f t="shared" si="354"/>
        <v>0</v>
      </c>
      <c r="AO30" s="27">
        <f t="shared" si="355"/>
        <v>0</v>
      </c>
      <c r="AP30" s="66">
        <v>14</v>
      </c>
      <c r="AQ30" s="26">
        <f>'Production data'!K13</f>
        <v>0</v>
      </c>
      <c r="AR30" s="27">
        <f t="shared" si="356"/>
        <v>0</v>
      </c>
      <c r="AS30" s="27">
        <f t="shared" si="357"/>
        <v>0</v>
      </c>
      <c r="AT30" s="67">
        <v>10</v>
      </c>
      <c r="AU30" s="26">
        <f>'Production data'!L13</f>
        <v>0</v>
      </c>
      <c r="AV30" s="27">
        <f t="shared" si="358"/>
        <v>0</v>
      </c>
      <c r="AW30" s="27">
        <f t="shared" si="359"/>
        <v>0</v>
      </c>
      <c r="AX30" s="56">
        <v>11</v>
      </c>
      <c r="AY30" s="26">
        <f>'Production data'!M13</f>
        <v>0</v>
      </c>
      <c r="AZ30" s="27">
        <f t="shared" si="360"/>
        <v>0</v>
      </c>
      <c r="BA30" s="27">
        <f t="shared" si="361"/>
        <v>0</v>
      </c>
      <c r="BB30" s="67">
        <v>10</v>
      </c>
      <c r="BC30" s="26">
        <f>'Production data'!N13</f>
        <v>0</v>
      </c>
      <c r="BD30" s="27">
        <f t="shared" si="362"/>
        <v>0</v>
      </c>
      <c r="BE30" s="27">
        <f t="shared" si="363"/>
        <v>0</v>
      </c>
      <c r="BF30" s="67">
        <v>6</v>
      </c>
      <c r="BG30" s="26">
        <f>'Production data'!O13</f>
        <v>0</v>
      </c>
      <c r="BH30" s="27">
        <f t="shared" si="364"/>
        <v>0</v>
      </c>
      <c r="BI30" s="27">
        <f t="shared" si="365"/>
        <v>0</v>
      </c>
      <c r="BJ30" s="67">
        <v>4</v>
      </c>
      <c r="BK30" s="26">
        <f>'Production data'!P13</f>
        <v>0</v>
      </c>
      <c r="BL30" s="27">
        <f t="shared" si="366"/>
        <v>0</v>
      </c>
      <c r="BM30" s="27">
        <f t="shared" si="367"/>
        <v>0</v>
      </c>
      <c r="BN30" s="67">
        <v>6</v>
      </c>
      <c r="BO30" s="26">
        <f>'Production data'!Q13</f>
        <v>0</v>
      </c>
      <c r="BP30" s="27">
        <f t="shared" si="368"/>
        <v>0</v>
      </c>
      <c r="BQ30" s="27">
        <f t="shared" si="369"/>
        <v>0</v>
      </c>
      <c r="BR30" s="67">
        <v>9</v>
      </c>
      <c r="BS30" s="26">
        <f>'Production data'!R13</f>
        <v>0</v>
      </c>
      <c r="BT30" s="27">
        <f t="shared" si="370"/>
        <v>0</v>
      </c>
      <c r="BU30" s="27">
        <f t="shared" si="371"/>
        <v>0</v>
      </c>
      <c r="BV30" s="67">
        <v>6</v>
      </c>
      <c r="BW30" s="26">
        <f>'Production data'!S13</f>
        <v>0</v>
      </c>
      <c r="BX30" s="27">
        <f t="shared" si="372"/>
        <v>0</v>
      </c>
      <c r="BY30" s="27">
        <f t="shared" si="373"/>
        <v>0</v>
      </c>
      <c r="BZ30" s="67">
        <v>9</v>
      </c>
      <c r="CA30" s="26">
        <f>'Production data'!T13</f>
        <v>0</v>
      </c>
      <c r="CB30" s="27">
        <f t="shared" si="374"/>
        <v>0</v>
      </c>
      <c r="CC30" s="27">
        <f t="shared" si="375"/>
        <v>0</v>
      </c>
      <c r="CD30" s="66">
        <v>13</v>
      </c>
      <c r="CE30" s="26">
        <f>'Production data'!U13</f>
        <v>0</v>
      </c>
      <c r="CF30" s="27">
        <f t="shared" si="376"/>
        <v>0</v>
      </c>
      <c r="CG30" s="27">
        <f t="shared" si="377"/>
        <v>0</v>
      </c>
      <c r="CH30" s="66">
        <v>4</v>
      </c>
      <c r="CI30" s="26">
        <f>'Production data'!V13</f>
        <v>0</v>
      </c>
      <c r="CJ30" s="27">
        <f t="shared" si="378"/>
        <v>0</v>
      </c>
      <c r="CK30" s="27">
        <f t="shared" si="379"/>
        <v>0</v>
      </c>
      <c r="CL30" s="60">
        <v>13</v>
      </c>
      <c r="CM30" s="26">
        <f>'Production data'!W13</f>
        <v>0</v>
      </c>
      <c r="CN30" s="27">
        <f t="shared" si="380"/>
        <v>0</v>
      </c>
      <c r="CO30" s="27">
        <f t="shared" si="381"/>
        <v>0</v>
      </c>
      <c r="CP30" s="8">
        <v>13</v>
      </c>
      <c r="CQ30" s="26">
        <f>'Production data'!X13</f>
        <v>0</v>
      </c>
      <c r="CR30" s="27">
        <f t="shared" si="382"/>
        <v>0</v>
      </c>
      <c r="CS30" s="27">
        <f t="shared" si="383"/>
        <v>0</v>
      </c>
      <c r="CT30" s="8">
        <v>12</v>
      </c>
      <c r="CU30" s="26">
        <f>'Production data'!Y13</f>
        <v>0</v>
      </c>
      <c r="CV30" s="27">
        <f t="shared" si="384"/>
        <v>0</v>
      </c>
      <c r="CW30" s="27">
        <f t="shared" si="385"/>
        <v>0</v>
      </c>
      <c r="CX30" s="8">
        <v>12</v>
      </c>
      <c r="CY30" s="26">
        <f>'Production data'!Z13</f>
        <v>0</v>
      </c>
      <c r="CZ30" s="27">
        <f t="shared" si="386"/>
        <v>0</v>
      </c>
      <c r="DA30" s="27">
        <f t="shared" si="387"/>
        <v>0</v>
      </c>
      <c r="DB30" s="63">
        <v>32</v>
      </c>
      <c r="DC30" s="26">
        <f>'Production data'!AA13</f>
        <v>0</v>
      </c>
      <c r="DD30" s="27">
        <f t="shared" si="388"/>
        <v>0</v>
      </c>
      <c r="DE30" s="27">
        <f t="shared" si="389"/>
        <v>0</v>
      </c>
      <c r="DF30" s="8">
        <v>2</v>
      </c>
      <c r="DG30" s="26">
        <f>'Production data'!AB13</f>
        <v>0</v>
      </c>
      <c r="DH30" s="27">
        <f t="shared" si="390"/>
        <v>0</v>
      </c>
      <c r="DI30" s="27">
        <f t="shared" si="391"/>
        <v>0</v>
      </c>
      <c r="DJ30" s="8">
        <v>3</v>
      </c>
      <c r="DK30" s="26">
        <f>'Production data'!AC13</f>
        <v>0</v>
      </c>
      <c r="DL30" s="27">
        <f t="shared" si="392"/>
        <v>0</v>
      </c>
      <c r="DM30" s="27">
        <f t="shared" si="393"/>
        <v>0</v>
      </c>
      <c r="DN30" s="66">
        <v>7</v>
      </c>
      <c r="DO30" s="26">
        <f>'Production data'!AD13</f>
        <v>0</v>
      </c>
      <c r="DP30" s="27">
        <f t="shared" si="394"/>
        <v>0</v>
      </c>
      <c r="DQ30" s="27">
        <f t="shared" si="395"/>
        <v>0</v>
      </c>
      <c r="DR30" s="8">
        <v>12</v>
      </c>
      <c r="DS30" s="26">
        <f>'Production data'!AE13</f>
        <v>0</v>
      </c>
      <c r="DT30" s="27">
        <f t="shared" si="396"/>
        <v>0</v>
      </c>
      <c r="DU30" s="27">
        <f t="shared" si="397"/>
        <v>0</v>
      </c>
      <c r="DV30" s="8"/>
      <c r="DW30" s="26">
        <f>'Production data'!AF13</f>
        <v>0</v>
      </c>
      <c r="DX30" s="27">
        <f t="shared" si="398"/>
        <v>0</v>
      </c>
      <c r="DY30" s="27">
        <f t="shared" si="399"/>
        <v>0</v>
      </c>
      <c r="DZ30" s="28">
        <f t="shared" si="400"/>
        <v>259</v>
      </c>
      <c r="EA30" s="28">
        <f t="shared" si="401"/>
        <v>0</v>
      </c>
      <c r="EB30" s="33">
        <f t="shared" si="402"/>
        <v>0</v>
      </c>
      <c r="EC30" s="33">
        <f t="shared" si="403"/>
        <v>0</v>
      </c>
    </row>
    <row r="31" spans="1:273" s="32" customFormat="1" ht="25.5" x14ac:dyDescent="0.35">
      <c r="A31" s="24"/>
      <c r="B31" s="24"/>
      <c r="C31" s="24">
        <v>40</v>
      </c>
      <c r="D31" s="25" t="s">
        <v>298</v>
      </c>
      <c r="E31" s="72"/>
      <c r="F31" s="67">
        <v>1</v>
      </c>
      <c r="G31" s="26">
        <f>G28</f>
        <v>0</v>
      </c>
      <c r="H31" s="27">
        <f t="shared" si="339"/>
        <v>0</v>
      </c>
      <c r="I31" s="27">
        <f t="shared" si="0"/>
        <v>0</v>
      </c>
      <c r="J31" s="67">
        <v>1</v>
      </c>
      <c r="K31" s="26">
        <f>K28</f>
        <v>700</v>
      </c>
      <c r="L31" s="27">
        <f t="shared" si="340"/>
        <v>1.4285714285714286E-3</v>
      </c>
      <c r="M31" s="27">
        <f t="shared" si="341"/>
        <v>1.2914285714285713E-2</v>
      </c>
      <c r="N31" s="67">
        <v>0</v>
      </c>
      <c r="O31" s="26">
        <f>O28</f>
        <v>742</v>
      </c>
      <c r="P31" s="27">
        <f t="shared" si="342"/>
        <v>0</v>
      </c>
      <c r="Q31" s="27">
        <f t="shared" si="343"/>
        <v>0</v>
      </c>
      <c r="R31" s="67">
        <v>46</v>
      </c>
      <c r="S31" s="26">
        <f>S28</f>
        <v>835</v>
      </c>
      <c r="T31" s="27">
        <f t="shared" si="344"/>
        <v>5.5089820359281436E-2</v>
      </c>
      <c r="U31" s="27">
        <f t="shared" si="345"/>
        <v>0.49801197604790415</v>
      </c>
      <c r="V31" s="67">
        <v>27</v>
      </c>
      <c r="W31" s="26">
        <f>W28</f>
        <v>1223</v>
      </c>
      <c r="X31" s="27">
        <f t="shared" si="346"/>
        <v>2.2076860179885527E-2</v>
      </c>
      <c r="Y31" s="27">
        <f t="shared" si="347"/>
        <v>0.19957481602616514</v>
      </c>
      <c r="Z31" s="67">
        <v>1</v>
      </c>
      <c r="AA31" s="26">
        <f>AA28</f>
        <v>0</v>
      </c>
      <c r="AB31" s="27">
        <f t="shared" si="348"/>
        <v>0</v>
      </c>
      <c r="AC31" s="27">
        <f t="shared" si="349"/>
        <v>0</v>
      </c>
      <c r="AD31" s="67">
        <v>1</v>
      </c>
      <c r="AE31" s="26">
        <f>AE28</f>
        <v>1125</v>
      </c>
      <c r="AF31" s="27">
        <f t="shared" si="350"/>
        <v>8.8888888888888893E-4</v>
      </c>
      <c r="AG31" s="27">
        <f t="shared" si="351"/>
        <v>8.0355555555555545E-3</v>
      </c>
      <c r="AH31" s="67">
        <v>1</v>
      </c>
      <c r="AI31" s="26">
        <f>AI28</f>
        <v>1000</v>
      </c>
      <c r="AJ31" s="27">
        <f t="shared" si="352"/>
        <v>1E-3</v>
      </c>
      <c r="AK31" s="27">
        <f t="shared" si="353"/>
        <v>9.0399999999999994E-3</v>
      </c>
      <c r="AL31" s="67">
        <v>1</v>
      </c>
      <c r="AM31" s="26">
        <f>AM28</f>
        <v>497</v>
      </c>
      <c r="AN31" s="27">
        <f t="shared" si="354"/>
        <v>2.012072434607646E-3</v>
      </c>
      <c r="AO31" s="27">
        <f t="shared" si="355"/>
        <v>1.8189134808853119E-2</v>
      </c>
      <c r="AP31" s="66">
        <v>0</v>
      </c>
      <c r="AQ31" s="26">
        <f>AQ28</f>
        <v>436</v>
      </c>
      <c r="AR31" s="27">
        <f t="shared" si="356"/>
        <v>0</v>
      </c>
      <c r="AS31" s="27">
        <f t="shared" si="357"/>
        <v>0</v>
      </c>
      <c r="AT31" s="67">
        <v>1</v>
      </c>
      <c r="AU31" s="26">
        <f>AU28</f>
        <v>214</v>
      </c>
      <c r="AV31" s="27">
        <f t="shared" si="358"/>
        <v>4.6728971962616819E-3</v>
      </c>
      <c r="AW31" s="27">
        <f t="shared" si="359"/>
        <v>4.2242990654205601E-2</v>
      </c>
      <c r="AX31" s="67">
        <v>1</v>
      </c>
      <c r="AY31" s="26">
        <f>AY28</f>
        <v>380</v>
      </c>
      <c r="AZ31" s="27">
        <f t="shared" si="360"/>
        <v>2.631578947368421E-3</v>
      </c>
      <c r="BA31" s="27">
        <f t="shared" si="361"/>
        <v>2.3789473684210524E-2</v>
      </c>
      <c r="BB31" s="67">
        <v>0</v>
      </c>
      <c r="BC31" s="26">
        <f>BC28</f>
        <v>1208</v>
      </c>
      <c r="BD31" s="27">
        <f t="shared" si="362"/>
        <v>0</v>
      </c>
      <c r="BE31" s="27">
        <f t="shared" si="363"/>
        <v>0</v>
      </c>
      <c r="BF31" s="67">
        <v>1</v>
      </c>
      <c r="BG31" s="26">
        <f>BG28</f>
        <v>450</v>
      </c>
      <c r="BH31" s="27">
        <f t="shared" si="364"/>
        <v>2.2222222222222222E-3</v>
      </c>
      <c r="BI31" s="27">
        <f t="shared" si="365"/>
        <v>2.0088888888888885E-2</v>
      </c>
      <c r="BJ31" s="67">
        <v>0</v>
      </c>
      <c r="BK31" s="26">
        <f>BK28</f>
        <v>543</v>
      </c>
      <c r="BL31" s="27">
        <f t="shared" si="366"/>
        <v>0</v>
      </c>
      <c r="BM31" s="27">
        <f t="shared" si="367"/>
        <v>0</v>
      </c>
      <c r="BN31" s="67">
        <v>1</v>
      </c>
      <c r="BO31" s="26">
        <f>BO28</f>
        <v>1100</v>
      </c>
      <c r="BP31" s="27">
        <f t="shared" si="368"/>
        <v>9.0909090909090909E-4</v>
      </c>
      <c r="BQ31" s="27">
        <f t="shared" si="369"/>
        <v>8.2181818181818172E-3</v>
      </c>
      <c r="BR31" s="67">
        <v>1</v>
      </c>
      <c r="BS31" s="26">
        <f>BS28</f>
        <v>440</v>
      </c>
      <c r="BT31" s="27">
        <f t="shared" si="370"/>
        <v>2.2727272727272726E-3</v>
      </c>
      <c r="BU31" s="27">
        <f t="shared" si="371"/>
        <v>2.0545454545454544E-2</v>
      </c>
      <c r="BV31" s="67">
        <v>6</v>
      </c>
      <c r="BW31" s="26">
        <f>BW28</f>
        <v>374</v>
      </c>
      <c r="BX31" s="27">
        <f t="shared" si="372"/>
        <v>1.6042780748663103E-2</v>
      </c>
      <c r="BY31" s="27">
        <f t="shared" si="373"/>
        <v>0.14502673796791443</v>
      </c>
      <c r="BZ31" s="67">
        <v>20</v>
      </c>
      <c r="CA31" s="26">
        <f>CA28</f>
        <v>0</v>
      </c>
      <c r="CB31" s="27">
        <f t="shared" si="374"/>
        <v>0</v>
      </c>
      <c r="CC31" s="27">
        <f t="shared" si="375"/>
        <v>0</v>
      </c>
      <c r="CD31" s="66">
        <v>2</v>
      </c>
      <c r="CE31" s="26">
        <f>CE28</f>
        <v>1155</v>
      </c>
      <c r="CF31" s="27">
        <f t="shared" si="376"/>
        <v>1.7316017316017316E-3</v>
      </c>
      <c r="CG31" s="27">
        <f t="shared" si="377"/>
        <v>1.5653679653679652E-2</v>
      </c>
      <c r="CH31" s="66">
        <v>0</v>
      </c>
      <c r="CI31" s="26">
        <f>CI28</f>
        <v>264</v>
      </c>
      <c r="CJ31" s="27">
        <f t="shared" si="378"/>
        <v>0</v>
      </c>
      <c r="CK31" s="27">
        <f t="shared" si="379"/>
        <v>0</v>
      </c>
      <c r="CL31" s="60">
        <v>35</v>
      </c>
      <c r="CM31" s="26">
        <f>CM28</f>
        <v>820</v>
      </c>
      <c r="CN31" s="27">
        <f t="shared" si="380"/>
        <v>4.2682926829268296E-2</v>
      </c>
      <c r="CO31" s="27">
        <f t="shared" si="381"/>
        <v>0.38585365853658538</v>
      </c>
      <c r="CP31" s="8">
        <v>1</v>
      </c>
      <c r="CQ31" s="26">
        <f>CQ28</f>
        <v>1440</v>
      </c>
      <c r="CR31" s="27">
        <f t="shared" si="382"/>
        <v>6.9444444444444447E-4</v>
      </c>
      <c r="CS31" s="27">
        <f t="shared" si="383"/>
        <v>6.2777777777777771E-3</v>
      </c>
      <c r="CT31" s="8">
        <v>1</v>
      </c>
      <c r="CU31" s="26">
        <f>CU28</f>
        <v>890</v>
      </c>
      <c r="CV31" s="27">
        <f t="shared" si="384"/>
        <v>1.1235955056179776E-3</v>
      </c>
      <c r="CW31" s="27">
        <f t="shared" si="385"/>
        <v>1.0157303370786517E-2</v>
      </c>
      <c r="CX31" s="8">
        <v>0</v>
      </c>
      <c r="CY31" s="26">
        <f>CY28</f>
        <v>0</v>
      </c>
      <c r="CZ31" s="27">
        <f t="shared" si="386"/>
        <v>0</v>
      </c>
      <c r="DA31" s="27">
        <f t="shared" si="387"/>
        <v>0</v>
      </c>
      <c r="DB31" s="63">
        <v>0</v>
      </c>
      <c r="DC31" s="26">
        <f>DC28</f>
        <v>700</v>
      </c>
      <c r="DD31" s="27">
        <f t="shared" si="388"/>
        <v>0</v>
      </c>
      <c r="DE31" s="27">
        <f t="shared" si="389"/>
        <v>0</v>
      </c>
      <c r="DF31" s="8">
        <v>0</v>
      </c>
      <c r="DG31" s="26">
        <f>DG28</f>
        <v>980</v>
      </c>
      <c r="DH31" s="27">
        <f t="shared" si="390"/>
        <v>0</v>
      </c>
      <c r="DI31" s="27">
        <f t="shared" si="391"/>
        <v>0</v>
      </c>
      <c r="DJ31" s="8">
        <v>0</v>
      </c>
      <c r="DK31" s="26">
        <f>DK28</f>
        <v>0</v>
      </c>
      <c r="DL31" s="27">
        <f t="shared" si="392"/>
        <v>0</v>
      </c>
      <c r="DM31" s="27">
        <f t="shared" si="393"/>
        <v>0</v>
      </c>
      <c r="DN31" s="8">
        <v>0</v>
      </c>
      <c r="DO31" s="26">
        <f>DO28</f>
        <v>995</v>
      </c>
      <c r="DP31" s="27">
        <f t="shared" si="394"/>
        <v>0</v>
      </c>
      <c r="DQ31" s="27">
        <f t="shared" si="395"/>
        <v>0</v>
      </c>
      <c r="DR31" s="8">
        <v>0</v>
      </c>
      <c r="DS31" s="26">
        <f>DS28</f>
        <v>0</v>
      </c>
      <c r="DT31" s="27">
        <f t="shared" si="396"/>
        <v>0</v>
      </c>
      <c r="DU31" s="27">
        <f t="shared" si="397"/>
        <v>0</v>
      </c>
      <c r="DV31" s="8"/>
      <c r="DW31" s="26">
        <f>DW28</f>
        <v>0</v>
      </c>
      <c r="DX31" s="27">
        <f t="shared" si="398"/>
        <v>0</v>
      </c>
      <c r="DY31" s="27">
        <f t="shared" si="399"/>
        <v>0</v>
      </c>
      <c r="DZ31" s="28">
        <f t="shared" si="400"/>
        <v>149</v>
      </c>
      <c r="EA31" s="28">
        <f t="shared" si="401"/>
        <v>17386</v>
      </c>
      <c r="EB31" s="33">
        <f t="shared" si="402"/>
        <v>8.5701138847348434E-3</v>
      </c>
      <c r="EC31" s="33">
        <f t="shared" si="403"/>
        <v>7.7473829518002982E-2</v>
      </c>
    </row>
    <row r="32" spans="1:273" s="32" customFormat="1" ht="25.5" x14ac:dyDescent="0.35">
      <c r="A32" s="24"/>
      <c r="B32" s="24"/>
      <c r="C32" s="24">
        <v>41</v>
      </c>
      <c r="D32" s="25" t="s">
        <v>299</v>
      </c>
      <c r="E32" s="72"/>
      <c r="F32" s="67">
        <v>0</v>
      </c>
      <c r="G32" s="26">
        <f>G28</f>
        <v>0</v>
      </c>
      <c r="H32" s="27">
        <f t="shared" si="339"/>
        <v>0</v>
      </c>
      <c r="I32" s="27">
        <f t="shared" si="0"/>
        <v>0</v>
      </c>
      <c r="J32" s="67">
        <v>8</v>
      </c>
      <c r="K32" s="26">
        <f>K28</f>
        <v>700</v>
      </c>
      <c r="L32" s="27">
        <f t="shared" si="340"/>
        <v>1.1428571428571429E-2</v>
      </c>
      <c r="M32" s="27">
        <f t="shared" si="341"/>
        <v>0.10331428571428571</v>
      </c>
      <c r="N32" s="67">
        <v>8</v>
      </c>
      <c r="O32" s="26">
        <f>O28</f>
        <v>742</v>
      </c>
      <c r="P32" s="27">
        <f t="shared" si="342"/>
        <v>1.078167115902965E-2</v>
      </c>
      <c r="Q32" s="27">
        <f t="shared" si="343"/>
        <v>9.7466307277628034E-2</v>
      </c>
      <c r="R32" s="67">
        <v>11</v>
      </c>
      <c r="S32" s="26">
        <f>S28</f>
        <v>835</v>
      </c>
      <c r="T32" s="27">
        <f t="shared" si="344"/>
        <v>1.3173652694610778E-2</v>
      </c>
      <c r="U32" s="27">
        <f t="shared" si="345"/>
        <v>0.11908982035928142</v>
      </c>
      <c r="V32" s="67">
        <v>18</v>
      </c>
      <c r="W32" s="26">
        <f>W28</f>
        <v>1223</v>
      </c>
      <c r="X32" s="27">
        <f t="shared" si="346"/>
        <v>1.4717906786590351E-2</v>
      </c>
      <c r="Y32" s="27">
        <f t="shared" si="347"/>
        <v>0.13304987735077675</v>
      </c>
      <c r="Z32" s="67">
        <v>0</v>
      </c>
      <c r="AA32" s="26">
        <f>AA28</f>
        <v>0</v>
      </c>
      <c r="AB32" s="27">
        <f t="shared" si="348"/>
        <v>0</v>
      </c>
      <c r="AC32" s="27">
        <f t="shared" si="349"/>
        <v>0</v>
      </c>
      <c r="AD32" s="67">
        <v>12</v>
      </c>
      <c r="AE32" s="26">
        <f>AE28</f>
        <v>1125</v>
      </c>
      <c r="AF32" s="27">
        <f t="shared" si="350"/>
        <v>1.0666666666666666E-2</v>
      </c>
      <c r="AG32" s="27">
        <f t="shared" si="351"/>
        <v>9.6426666666666661E-2</v>
      </c>
      <c r="AH32" s="67">
        <v>11</v>
      </c>
      <c r="AI32" s="26">
        <f>AI28</f>
        <v>1000</v>
      </c>
      <c r="AJ32" s="27">
        <f t="shared" si="352"/>
        <v>1.0999999999999999E-2</v>
      </c>
      <c r="AK32" s="27">
        <f t="shared" si="353"/>
        <v>9.9439999999999987E-2</v>
      </c>
      <c r="AL32" s="67">
        <v>7</v>
      </c>
      <c r="AM32" s="26">
        <f>AM28</f>
        <v>497</v>
      </c>
      <c r="AN32" s="27">
        <f t="shared" si="354"/>
        <v>1.4084507042253521E-2</v>
      </c>
      <c r="AO32" s="27">
        <f t="shared" si="355"/>
        <v>0.12732394366197183</v>
      </c>
      <c r="AP32" s="66">
        <v>7</v>
      </c>
      <c r="AQ32" s="26">
        <f>AQ28</f>
        <v>436</v>
      </c>
      <c r="AR32" s="27">
        <f t="shared" si="356"/>
        <v>1.6055045871559634E-2</v>
      </c>
      <c r="AS32" s="27">
        <f t="shared" si="357"/>
        <v>0.14513761467889907</v>
      </c>
      <c r="AT32" s="67">
        <v>14</v>
      </c>
      <c r="AU32" s="26">
        <f>AU28</f>
        <v>214</v>
      </c>
      <c r="AV32" s="27">
        <f t="shared" si="358"/>
        <v>6.5420560747663545E-2</v>
      </c>
      <c r="AW32" s="27">
        <f t="shared" si="359"/>
        <v>0.59140186915887838</v>
      </c>
      <c r="AX32" s="67">
        <v>6</v>
      </c>
      <c r="AY32" s="26">
        <f>AY28</f>
        <v>380</v>
      </c>
      <c r="AZ32" s="27">
        <f t="shared" si="360"/>
        <v>1.5789473684210527E-2</v>
      </c>
      <c r="BA32" s="27">
        <f t="shared" si="361"/>
        <v>0.14273684210526316</v>
      </c>
      <c r="BB32" s="67">
        <v>13</v>
      </c>
      <c r="BC32" s="26">
        <f>BC28</f>
        <v>1208</v>
      </c>
      <c r="BD32" s="27">
        <f t="shared" si="362"/>
        <v>1.0761589403973509E-2</v>
      </c>
      <c r="BE32" s="27">
        <f t="shared" si="363"/>
        <v>9.7284768211920516E-2</v>
      </c>
      <c r="BF32" s="67">
        <v>6</v>
      </c>
      <c r="BG32" s="26">
        <f>BG28</f>
        <v>450</v>
      </c>
      <c r="BH32" s="27">
        <f t="shared" si="364"/>
        <v>1.3333333333333334E-2</v>
      </c>
      <c r="BI32" s="27">
        <f t="shared" si="365"/>
        <v>0.12053333333333333</v>
      </c>
      <c r="BJ32" s="67">
        <v>6</v>
      </c>
      <c r="BK32" s="26">
        <f>BK28</f>
        <v>543</v>
      </c>
      <c r="BL32" s="27">
        <f t="shared" si="366"/>
        <v>1.1049723756906077E-2</v>
      </c>
      <c r="BM32" s="27">
        <f t="shared" si="367"/>
        <v>9.9889502762430929E-2</v>
      </c>
      <c r="BN32" s="67">
        <v>15</v>
      </c>
      <c r="BO32" s="26">
        <f>BO28</f>
        <v>1100</v>
      </c>
      <c r="BP32" s="27">
        <f t="shared" si="368"/>
        <v>1.3636363636363636E-2</v>
      </c>
      <c r="BQ32" s="27">
        <f t="shared" si="369"/>
        <v>0.12327272727272726</v>
      </c>
      <c r="BR32" s="67">
        <v>8</v>
      </c>
      <c r="BS32" s="26">
        <f>BS28</f>
        <v>440</v>
      </c>
      <c r="BT32" s="27">
        <f t="shared" si="370"/>
        <v>1.8181818181818181E-2</v>
      </c>
      <c r="BU32" s="27">
        <f t="shared" si="371"/>
        <v>0.16436363636363635</v>
      </c>
      <c r="BV32" s="67">
        <v>7</v>
      </c>
      <c r="BW32" s="26">
        <f>BW28</f>
        <v>374</v>
      </c>
      <c r="BX32" s="27">
        <f t="shared" si="372"/>
        <v>1.871657754010695E-2</v>
      </c>
      <c r="BY32" s="27">
        <f t="shared" si="373"/>
        <v>0.16919786096256681</v>
      </c>
      <c r="BZ32" s="67">
        <v>4</v>
      </c>
      <c r="CA32" s="26">
        <f>CA28</f>
        <v>0</v>
      </c>
      <c r="CB32" s="27">
        <f t="shared" si="374"/>
        <v>0</v>
      </c>
      <c r="CC32" s="27">
        <f t="shared" si="375"/>
        <v>0</v>
      </c>
      <c r="CD32" s="66">
        <v>13</v>
      </c>
      <c r="CE32" s="26">
        <f>CE28</f>
        <v>1155</v>
      </c>
      <c r="CF32" s="27">
        <f t="shared" si="376"/>
        <v>1.1255411255411256E-2</v>
      </c>
      <c r="CG32" s="27">
        <f t="shared" si="377"/>
        <v>0.10174891774891774</v>
      </c>
      <c r="CH32" s="66">
        <v>3</v>
      </c>
      <c r="CI32" s="26">
        <f>CI28</f>
        <v>264</v>
      </c>
      <c r="CJ32" s="27">
        <f t="shared" si="378"/>
        <v>1.1363636363636364E-2</v>
      </c>
      <c r="CK32" s="27">
        <f t="shared" si="379"/>
        <v>0.10272727272727272</v>
      </c>
      <c r="CL32" s="60">
        <v>11</v>
      </c>
      <c r="CM32" s="26">
        <f>CM28</f>
        <v>820</v>
      </c>
      <c r="CN32" s="27">
        <f t="shared" si="380"/>
        <v>1.3414634146341463E-2</v>
      </c>
      <c r="CO32" s="27">
        <f t="shared" si="381"/>
        <v>0.12126829268292681</v>
      </c>
      <c r="CP32" s="8">
        <v>16</v>
      </c>
      <c r="CQ32" s="26">
        <f>CQ28</f>
        <v>1440</v>
      </c>
      <c r="CR32" s="27">
        <f t="shared" si="382"/>
        <v>1.1111111111111112E-2</v>
      </c>
      <c r="CS32" s="27">
        <f t="shared" si="383"/>
        <v>0.10044444444444443</v>
      </c>
      <c r="CT32" s="8">
        <v>11</v>
      </c>
      <c r="CU32" s="26">
        <f>CU28</f>
        <v>890</v>
      </c>
      <c r="CV32" s="27">
        <f t="shared" si="384"/>
        <v>1.2359550561797753E-2</v>
      </c>
      <c r="CW32" s="27">
        <f t="shared" si="385"/>
        <v>0.11173033707865168</v>
      </c>
      <c r="CX32" s="8">
        <v>0</v>
      </c>
      <c r="CY32" s="26">
        <f>CY28</f>
        <v>0</v>
      </c>
      <c r="CZ32" s="27">
        <f t="shared" si="386"/>
        <v>0</v>
      </c>
      <c r="DA32" s="27">
        <f t="shared" si="387"/>
        <v>0</v>
      </c>
      <c r="DB32" s="63">
        <v>8</v>
      </c>
      <c r="DC32" s="26">
        <f>DC28</f>
        <v>700</v>
      </c>
      <c r="DD32" s="27">
        <f t="shared" si="388"/>
        <v>1.1428571428571429E-2</v>
      </c>
      <c r="DE32" s="27">
        <f t="shared" si="389"/>
        <v>0.10331428571428571</v>
      </c>
      <c r="DF32" s="8">
        <v>15</v>
      </c>
      <c r="DG32" s="26">
        <f>DG28</f>
        <v>980</v>
      </c>
      <c r="DH32" s="27">
        <f t="shared" si="390"/>
        <v>1.5306122448979591E-2</v>
      </c>
      <c r="DI32" s="27">
        <f t="shared" si="391"/>
        <v>0.1383673469387755</v>
      </c>
      <c r="DJ32" s="8">
        <v>0</v>
      </c>
      <c r="DK32" s="26">
        <f>DK28</f>
        <v>0</v>
      </c>
      <c r="DL32" s="27">
        <f t="shared" si="392"/>
        <v>0</v>
      </c>
      <c r="DM32" s="27">
        <f t="shared" si="393"/>
        <v>0</v>
      </c>
      <c r="DN32" s="8">
        <v>16</v>
      </c>
      <c r="DO32" s="26">
        <f>DO28</f>
        <v>995</v>
      </c>
      <c r="DP32" s="27">
        <f t="shared" si="394"/>
        <v>1.6080402010050253E-2</v>
      </c>
      <c r="DQ32" s="27">
        <f t="shared" si="395"/>
        <v>0.14536683417085428</v>
      </c>
      <c r="DR32" s="8">
        <v>3</v>
      </c>
      <c r="DS32" s="26">
        <f>DS28</f>
        <v>0</v>
      </c>
      <c r="DT32" s="27">
        <f t="shared" si="396"/>
        <v>0</v>
      </c>
      <c r="DU32" s="27">
        <f t="shared" si="397"/>
        <v>0</v>
      </c>
      <c r="DV32" s="8"/>
      <c r="DW32" s="26">
        <f>DW28</f>
        <v>0</v>
      </c>
      <c r="DX32" s="27">
        <f t="shared" si="398"/>
        <v>0</v>
      </c>
      <c r="DY32" s="27">
        <f t="shared" si="399"/>
        <v>0</v>
      </c>
      <c r="DZ32" s="28">
        <f t="shared" si="400"/>
        <v>257</v>
      </c>
      <c r="EA32" s="28">
        <f t="shared" si="401"/>
        <v>17386</v>
      </c>
      <c r="EB32" s="33">
        <f t="shared" si="402"/>
        <v>1.4782008512596341E-2</v>
      </c>
      <c r="EC32" s="33">
        <f t="shared" si="403"/>
        <v>0.1336293569538709</v>
      </c>
    </row>
    <row r="33" spans="1:273" s="32" customFormat="1" ht="25.5" x14ac:dyDescent="0.35">
      <c r="A33" s="24"/>
      <c r="B33" s="24"/>
      <c r="C33" s="24">
        <v>43</v>
      </c>
      <c r="D33" s="25" t="s">
        <v>300</v>
      </c>
      <c r="E33" s="72"/>
      <c r="F33" s="67">
        <v>0</v>
      </c>
      <c r="G33" s="26">
        <f>G30</f>
        <v>0</v>
      </c>
      <c r="H33" s="27">
        <f t="shared" si="339"/>
        <v>0</v>
      </c>
      <c r="I33" s="27">
        <f t="shared" si="0"/>
        <v>0</v>
      </c>
      <c r="J33" s="67">
        <v>33</v>
      </c>
      <c r="K33" s="26">
        <f>K30</f>
        <v>0</v>
      </c>
      <c r="L33" s="27">
        <f t="shared" si="340"/>
        <v>0</v>
      </c>
      <c r="M33" s="27">
        <f t="shared" si="341"/>
        <v>0</v>
      </c>
      <c r="N33" s="67">
        <v>30</v>
      </c>
      <c r="O33" s="26">
        <f>O30</f>
        <v>0</v>
      </c>
      <c r="P33" s="27">
        <f t="shared" si="342"/>
        <v>0</v>
      </c>
      <c r="Q33" s="27">
        <f t="shared" si="343"/>
        <v>0</v>
      </c>
      <c r="R33" s="67">
        <v>10</v>
      </c>
      <c r="S33" s="26">
        <f>S30</f>
        <v>0</v>
      </c>
      <c r="T33" s="27">
        <f t="shared" si="344"/>
        <v>0</v>
      </c>
      <c r="U33" s="27">
        <f t="shared" si="345"/>
        <v>0</v>
      </c>
      <c r="V33" s="67">
        <v>6</v>
      </c>
      <c r="W33" s="26">
        <f>W30</f>
        <v>0</v>
      </c>
      <c r="X33" s="27">
        <f t="shared" si="346"/>
        <v>0</v>
      </c>
      <c r="Y33" s="27">
        <f t="shared" si="347"/>
        <v>0</v>
      </c>
      <c r="Z33" s="67">
        <v>0</v>
      </c>
      <c r="AA33" s="26">
        <f>AA30</f>
        <v>0</v>
      </c>
      <c r="AB33" s="27">
        <f t="shared" si="348"/>
        <v>0</v>
      </c>
      <c r="AC33" s="27">
        <f t="shared" si="349"/>
        <v>0</v>
      </c>
      <c r="AD33" s="67">
        <v>10</v>
      </c>
      <c r="AE33" s="26">
        <f>AE30</f>
        <v>0</v>
      </c>
      <c r="AF33" s="27">
        <f t="shared" si="350"/>
        <v>0</v>
      </c>
      <c r="AG33" s="27">
        <f t="shared" si="351"/>
        <v>0</v>
      </c>
      <c r="AH33" s="66">
        <v>8</v>
      </c>
      <c r="AI33" s="26">
        <f>AI30</f>
        <v>0</v>
      </c>
      <c r="AJ33" s="27">
        <f t="shared" si="352"/>
        <v>0</v>
      </c>
      <c r="AK33" s="27">
        <f t="shared" si="353"/>
        <v>0</v>
      </c>
      <c r="AL33" s="66">
        <v>6</v>
      </c>
      <c r="AM33" s="26">
        <f>AM30</f>
        <v>0</v>
      </c>
      <c r="AN33" s="27">
        <f t="shared" si="354"/>
        <v>0</v>
      </c>
      <c r="AO33" s="27">
        <f t="shared" si="355"/>
        <v>0</v>
      </c>
      <c r="AP33" s="66">
        <v>6</v>
      </c>
      <c r="AQ33" s="26">
        <f>AQ30</f>
        <v>0</v>
      </c>
      <c r="AR33" s="27">
        <f t="shared" si="356"/>
        <v>0</v>
      </c>
      <c r="AS33" s="27">
        <f t="shared" si="357"/>
        <v>0</v>
      </c>
      <c r="AT33" s="66">
        <v>10</v>
      </c>
      <c r="AU33" s="26">
        <f>AU30</f>
        <v>0</v>
      </c>
      <c r="AV33" s="27">
        <f t="shared" si="358"/>
        <v>0</v>
      </c>
      <c r="AW33" s="27">
        <f t="shared" si="359"/>
        <v>0</v>
      </c>
      <c r="AX33" s="66">
        <v>7</v>
      </c>
      <c r="AY33" s="26">
        <f>AY30</f>
        <v>0</v>
      </c>
      <c r="AZ33" s="27">
        <f t="shared" si="360"/>
        <v>0</v>
      </c>
      <c r="BA33" s="27">
        <f t="shared" si="361"/>
        <v>0</v>
      </c>
      <c r="BB33" s="67">
        <v>9</v>
      </c>
      <c r="BC33" s="26">
        <f>BC30</f>
        <v>0</v>
      </c>
      <c r="BD33" s="27">
        <f t="shared" si="362"/>
        <v>0</v>
      </c>
      <c r="BE33" s="27">
        <f t="shared" si="363"/>
        <v>0</v>
      </c>
      <c r="BF33" s="67">
        <v>5</v>
      </c>
      <c r="BG33" s="26">
        <f>BG30</f>
        <v>0</v>
      </c>
      <c r="BH33" s="27">
        <f t="shared" si="364"/>
        <v>0</v>
      </c>
      <c r="BI33" s="27">
        <f t="shared" si="365"/>
        <v>0</v>
      </c>
      <c r="BJ33" s="67">
        <v>5</v>
      </c>
      <c r="BK33" s="26">
        <f>BK30</f>
        <v>0</v>
      </c>
      <c r="BL33" s="27">
        <f t="shared" si="366"/>
        <v>0</v>
      </c>
      <c r="BM33" s="27">
        <f t="shared" si="367"/>
        <v>0</v>
      </c>
      <c r="BN33" s="67">
        <v>18</v>
      </c>
      <c r="BO33" s="26">
        <f>BO30</f>
        <v>0</v>
      </c>
      <c r="BP33" s="27">
        <f t="shared" si="368"/>
        <v>0</v>
      </c>
      <c r="BQ33" s="27">
        <f t="shared" si="369"/>
        <v>0</v>
      </c>
      <c r="BR33" s="66">
        <v>27</v>
      </c>
      <c r="BS33" s="26">
        <f>BS30</f>
        <v>0</v>
      </c>
      <c r="BT33" s="27">
        <f t="shared" si="370"/>
        <v>0</v>
      </c>
      <c r="BU33" s="27">
        <f t="shared" si="371"/>
        <v>0</v>
      </c>
      <c r="BV33" s="66">
        <v>12</v>
      </c>
      <c r="BW33" s="26">
        <f>BW30</f>
        <v>0</v>
      </c>
      <c r="BX33" s="27">
        <f t="shared" si="372"/>
        <v>0</v>
      </c>
      <c r="BY33" s="27">
        <f t="shared" si="373"/>
        <v>0</v>
      </c>
      <c r="BZ33" s="66">
        <v>30</v>
      </c>
      <c r="CA33" s="26">
        <f>CA30</f>
        <v>0</v>
      </c>
      <c r="CB33" s="27">
        <f t="shared" si="374"/>
        <v>0</v>
      </c>
      <c r="CC33" s="27">
        <f t="shared" si="375"/>
        <v>0</v>
      </c>
      <c r="CD33" s="66">
        <v>25</v>
      </c>
      <c r="CE33" s="26">
        <f>CE30</f>
        <v>0</v>
      </c>
      <c r="CF33" s="27">
        <f t="shared" si="376"/>
        <v>0</v>
      </c>
      <c r="CG33" s="27">
        <f t="shared" si="377"/>
        <v>0</v>
      </c>
      <c r="CH33" s="66">
        <v>4</v>
      </c>
      <c r="CI33" s="26">
        <f>CI30</f>
        <v>0</v>
      </c>
      <c r="CJ33" s="27">
        <f t="shared" si="378"/>
        <v>0</v>
      </c>
      <c r="CK33" s="27">
        <f t="shared" si="379"/>
        <v>0</v>
      </c>
      <c r="CL33" s="60">
        <v>8</v>
      </c>
      <c r="CM33" s="26">
        <f>CM30</f>
        <v>0</v>
      </c>
      <c r="CN33" s="27">
        <f t="shared" si="380"/>
        <v>0</v>
      </c>
      <c r="CO33" s="27">
        <f t="shared" si="381"/>
        <v>0</v>
      </c>
      <c r="CP33" s="8">
        <v>9</v>
      </c>
      <c r="CQ33" s="26">
        <f>CQ30</f>
        <v>0</v>
      </c>
      <c r="CR33" s="27">
        <f t="shared" si="382"/>
        <v>0</v>
      </c>
      <c r="CS33" s="27">
        <f t="shared" si="383"/>
        <v>0</v>
      </c>
      <c r="CT33" s="8">
        <v>11</v>
      </c>
      <c r="CU33" s="26">
        <f>CU30</f>
        <v>0</v>
      </c>
      <c r="CV33" s="27">
        <f t="shared" si="384"/>
        <v>0</v>
      </c>
      <c r="CW33" s="27">
        <f t="shared" si="385"/>
        <v>0</v>
      </c>
      <c r="CX33" s="8">
        <v>8</v>
      </c>
      <c r="CY33" s="26">
        <f>CY30</f>
        <v>0</v>
      </c>
      <c r="CZ33" s="27">
        <f t="shared" si="386"/>
        <v>0</v>
      </c>
      <c r="DA33" s="27">
        <f t="shared" si="387"/>
        <v>0</v>
      </c>
      <c r="DB33" s="63">
        <v>37</v>
      </c>
      <c r="DC33" s="26">
        <f>DC30</f>
        <v>0</v>
      </c>
      <c r="DD33" s="27">
        <f t="shared" si="388"/>
        <v>0</v>
      </c>
      <c r="DE33" s="27">
        <f t="shared" si="389"/>
        <v>0</v>
      </c>
      <c r="DF33" s="8">
        <v>9</v>
      </c>
      <c r="DG33" s="26">
        <f>DG30</f>
        <v>0</v>
      </c>
      <c r="DH33" s="27">
        <f t="shared" si="390"/>
        <v>0</v>
      </c>
      <c r="DI33" s="27">
        <f t="shared" si="391"/>
        <v>0</v>
      </c>
      <c r="DJ33" s="8">
        <v>7</v>
      </c>
      <c r="DK33" s="26">
        <f>DK30</f>
        <v>0</v>
      </c>
      <c r="DL33" s="27">
        <f t="shared" si="392"/>
        <v>0</v>
      </c>
      <c r="DM33" s="27">
        <f t="shared" si="393"/>
        <v>0</v>
      </c>
      <c r="DN33" s="8">
        <v>12</v>
      </c>
      <c r="DO33" s="26">
        <f>DO30</f>
        <v>0</v>
      </c>
      <c r="DP33" s="27">
        <f t="shared" si="394"/>
        <v>0</v>
      </c>
      <c r="DQ33" s="27">
        <f t="shared" si="395"/>
        <v>0</v>
      </c>
      <c r="DR33" s="8">
        <v>6</v>
      </c>
      <c r="DS33" s="26">
        <f>DS30</f>
        <v>0</v>
      </c>
      <c r="DT33" s="27">
        <f t="shared" si="396"/>
        <v>0</v>
      </c>
      <c r="DU33" s="27">
        <f t="shared" si="397"/>
        <v>0</v>
      </c>
      <c r="DV33" s="8"/>
      <c r="DW33" s="26">
        <f>DW30</f>
        <v>0</v>
      </c>
      <c r="DX33" s="27">
        <f t="shared" si="398"/>
        <v>0</v>
      </c>
      <c r="DY33" s="27">
        <f t="shared" si="399"/>
        <v>0</v>
      </c>
      <c r="DZ33" s="28">
        <f t="shared" si="400"/>
        <v>368</v>
      </c>
      <c r="EA33" s="28">
        <f t="shared" si="401"/>
        <v>0</v>
      </c>
      <c r="EB33" s="33">
        <f t="shared" si="402"/>
        <v>0</v>
      </c>
      <c r="EC33" s="33">
        <f t="shared" si="403"/>
        <v>0</v>
      </c>
    </row>
    <row r="34" spans="1:273" s="32" customFormat="1" ht="25.5" x14ac:dyDescent="0.35">
      <c r="A34" s="24"/>
      <c r="B34" s="24"/>
      <c r="C34" s="24"/>
      <c r="D34" s="35" t="s">
        <v>331</v>
      </c>
      <c r="E34" s="36"/>
      <c r="F34" s="37">
        <f>SUM(F28:F33)+F3+F4+F9+F5</f>
        <v>7</v>
      </c>
      <c r="G34" s="37">
        <f t="shared" ref="G34:BQ34" si="404">SUM(G28:G33)+G3+G4+G9+G5</f>
        <v>0</v>
      </c>
      <c r="H34" s="39">
        <f t="shared" si="404"/>
        <v>0</v>
      </c>
      <c r="I34" s="39">
        <f t="shared" si="404"/>
        <v>0</v>
      </c>
      <c r="J34" s="37">
        <f>SUM(J28:J33)+J3+J4+J9+J5</f>
        <v>1152</v>
      </c>
      <c r="K34" s="37">
        <f t="shared" si="404"/>
        <v>5916</v>
      </c>
      <c r="L34" s="39">
        <f t="shared" si="404"/>
        <v>1.4467969288336555</v>
      </c>
      <c r="M34" s="39">
        <f t="shared" si="404"/>
        <v>13.079044236656244</v>
      </c>
      <c r="N34" s="37">
        <f>SUM(N28:N33)+N3+N4+N9+N5</f>
        <v>1332</v>
      </c>
      <c r="O34" s="37">
        <f t="shared" si="404"/>
        <v>10471</v>
      </c>
      <c r="P34" s="39">
        <f t="shared" si="404"/>
        <v>0.76263717951218368</v>
      </c>
      <c r="Q34" s="39">
        <f t="shared" si="404"/>
        <v>6.8942401027901408</v>
      </c>
      <c r="R34" s="37">
        <f>SUM(R28:R33)+R3+R4+R9+R5</f>
        <v>1409</v>
      </c>
      <c r="S34" s="37">
        <f t="shared" si="404"/>
        <v>11295</v>
      </c>
      <c r="T34" s="39">
        <f t="shared" si="404"/>
        <v>0.75713141811682783</v>
      </c>
      <c r="U34" s="39">
        <f t="shared" si="404"/>
        <v>6.8444680197761221</v>
      </c>
      <c r="V34" s="37">
        <f>SUM(V28:V33)+V3+V4+V9+V5</f>
        <v>1400</v>
      </c>
      <c r="W34" s="37">
        <f t="shared" si="404"/>
        <v>11102</v>
      </c>
      <c r="X34" s="39">
        <f t="shared" si="404"/>
        <v>0.86367864748324541</v>
      </c>
      <c r="Y34" s="39">
        <f t="shared" si="404"/>
        <v>7.8076549732485372</v>
      </c>
      <c r="Z34" s="37">
        <f>SUM(Z28:Z33)+Z3+Z4+Z9+Z5</f>
        <v>77</v>
      </c>
      <c r="AA34" s="37">
        <f t="shared" si="404"/>
        <v>0</v>
      </c>
      <c r="AB34" s="39">
        <f t="shared" si="404"/>
        <v>0</v>
      </c>
      <c r="AC34" s="39">
        <f t="shared" si="404"/>
        <v>0</v>
      </c>
      <c r="AD34" s="37">
        <f>SUM(AD28:AD33)+AD3+AD4+AD9+AD5</f>
        <v>1203</v>
      </c>
      <c r="AE34" s="37">
        <f t="shared" si="404"/>
        <v>9972</v>
      </c>
      <c r="AF34" s="39">
        <f t="shared" si="404"/>
        <v>0.93126644950710058</v>
      </c>
      <c r="AG34" s="39">
        <f t="shared" si="404"/>
        <v>8.4186487035441875</v>
      </c>
      <c r="AH34" s="37">
        <f>SUM(AH28:AH33)+AH3+AH4+AH9+AH5</f>
        <v>1200</v>
      </c>
      <c r="AI34" s="37">
        <f t="shared" si="404"/>
        <v>8641</v>
      </c>
      <c r="AJ34" s="39">
        <f t="shared" si="404"/>
        <v>1.0257709418897309</v>
      </c>
      <c r="AK34" s="39">
        <f t="shared" si="404"/>
        <v>9.2729693146831682</v>
      </c>
      <c r="AL34" s="37">
        <f>SUM(AL28:AL33)+AL3+AL4+AL9+AL5</f>
        <v>1356</v>
      </c>
      <c r="AM34" s="37">
        <f t="shared" si="404"/>
        <v>9358</v>
      </c>
      <c r="AN34" s="39">
        <f t="shared" si="404"/>
        <v>0.82928456061146349</v>
      </c>
      <c r="AO34" s="39">
        <f t="shared" si="404"/>
        <v>7.4967324279276291</v>
      </c>
      <c r="AP34" s="37">
        <f>SUM(AP28:AP33)+AP3+AP4+AP9+AP5</f>
        <v>1027</v>
      </c>
      <c r="AQ34" s="37">
        <f t="shared" ref="AQ34" si="405">SUM(AQ28:AQ33)+AQ3+AQ4+AQ9+AQ5</f>
        <v>5463</v>
      </c>
      <c r="AR34" s="39">
        <f t="shared" si="404"/>
        <v>1.1717986406012459</v>
      </c>
      <c r="AS34" s="39">
        <f t="shared" si="404"/>
        <v>10.593059711035263</v>
      </c>
      <c r="AT34" s="37">
        <f>SUM(AT28:AT33)+AT3+AT4+AT9+AT5</f>
        <v>1381</v>
      </c>
      <c r="AU34" s="37">
        <f t="shared" ref="AU34" si="406">SUM(AU28:AU33)+AU3+AU4+AU9+AU5</f>
        <v>7403</v>
      </c>
      <c r="AV34" s="39">
        <f t="shared" si="404"/>
        <v>1.1315847506181418</v>
      </c>
      <c r="AW34" s="39">
        <f t="shared" si="404"/>
        <v>10.229526145588002</v>
      </c>
      <c r="AX34" s="37">
        <f>SUM(AX28:AX33)+AX3+AX4+AX9+AX5</f>
        <v>1296</v>
      </c>
      <c r="AY34" s="37">
        <f t="shared" si="404"/>
        <v>7537</v>
      </c>
      <c r="AZ34" s="39">
        <f t="shared" si="404"/>
        <v>0.9398204265696245</v>
      </c>
      <c r="BA34" s="39">
        <f t="shared" si="404"/>
        <v>8.4959766561894039</v>
      </c>
      <c r="BB34" s="37">
        <f>SUM(BB28:BB33)+BB3+BB4+BB9+BB5</f>
        <v>1317</v>
      </c>
      <c r="BC34" s="37">
        <f t="shared" si="404"/>
        <v>10835</v>
      </c>
      <c r="BD34" s="39">
        <f t="shared" si="404"/>
        <v>0.90038618718997854</v>
      </c>
      <c r="BE34" s="39">
        <f t="shared" si="404"/>
        <v>8.1394911321974064</v>
      </c>
      <c r="BF34" s="37">
        <f>SUM(BF28:BF33)+BF3+BF4+BF9+BF5</f>
        <v>722</v>
      </c>
      <c r="BG34" s="37">
        <f t="shared" si="404"/>
        <v>4710</v>
      </c>
      <c r="BH34" s="39">
        <f t="shared" si="404"/>
        <v>0.98489177489177493</v>
      </c>
      <c r="BI34" s="39">
        <f t="shared" si="404"/>
        <v>8.9034216450216448</v>
      </c>
      <c r="BJ34" s="37">
        <f>SUM(BJ28:BJ33)+BJ3+BJ4+BJ9+BJ5</f>
        <v>1411</v>
      </c>
      <c r="BK34" s="37">
        <f t="shared" si="404"/>
        <v>9957</v>
      </c>
      <c r="BL34" s="39">
        <f t="shared" si="404"/>
        <v>0.77088555829990724</v>
      </c>
      <c r="BM34" s="39">
        <f t="shared" si="404"/>
        <v>6.968805447031162</v>
      </c>
      <c r="BN34" s="37">
        <f>SUM(BN28:BN33)+BN3+BN4+BN9+BN5</f>
        <v>1463</v>
      </c>
      <c r="BO34" s="37">
        <f t="shared" si="404"/>
        <v>11933</v>
      </c>
      <c r="BP34" s="39">
        <f t="shared" si="404"/>
        <v>0.81862735974109269</v>
      </c>
      <c r="BQ34" s="39">
        <f t="shared" si="404"/>
        <v>7.4003913320594759</v>
      </c>
      <c r="BR34" s="37">
        <f>SUM(BR28:BR33)+BR3+BR4+BR9+BR5</f>
        <v>1402</v>
      </c>
      <c r="BS34" s="37">
        <f t="shared" ref="BS34" si="407">SUM(BS28:BS33)+BS3+BS4+BS9+BS5</f>
        <v>9234</v>
      </c>
      <c r="BT34" s="39">
        <f t="shared" ref="BT34:EC34" si="408">SUM(BT28:BT33)+BT3+BT4+BT9+BT5</f>
        <v>0.82986996288828496</v>
      </c>
      <c r="BU34" s="39">
        <f t="shared" si="408"/>
        <v>7.5020244645100957</v>
      </c>
      <c r="BV34" s="37">
        <f>SUM(BV28:BV33)+BV3+BV4+BV9+BV5</f>
        <v>1260</v>
      </c>
      <c r="BW34" s="37">
        <f t="shared" ref="BW34" si="409">SUM(BW28:BW33)+BW3+BW4+BW9+BW5</f>
        <v>7214</v>
      </c>
      <c r="BX34" s="39">
        <f t="shared" si="408"/>
        <v>1.0088778102350271</v>
      </c>
      <c r="BY34" s="39">
        <f t="shared" si="408"/>
        <v>9.1202554045246416</v>
      </c>
      <c r="BZ34" s="37">
        <f>SUM(BZ28:BZ33)+BZ3+BZ4+BZ9+BZ5</f>
        <v>1338</v>
      </c>
      <c r="CA34" s="37">
        <f t="shared" ref="CA34" si="410">SUM(CA28:CA33)+CA3+CA4+CA9+CA5</f>
        <v>5049</v>
      </c>
      <c r="CB34" s="39">
        <f t="shared" si="408"/>
        <v>0.72608437314319674</v>
      </c>
      <c r="CC34" s="39">
        <f t="shared" si="408"/>
        <v>6.563802733214497</v>
      </c>
      <c r="CD34" s="37">
        <f>SUM(CD28:CD33)+CD3+CD4+CD9+CD5</f>
        <v>1414</v>
      </c>
      <c r="CE34" s="37">
        <f t="shared" ref="CE34" si="411">SUM(CE28:CE33)+CE3+CE4+CE9+CE5</f>
        <v>10987</v>
      </c>
      <c r="CF34" s="39">
        <f t="shared" si="408"/>
        <v>0.92506441920233617</v>
      </c>
      <c r="CG34" s="39">
        <f t="shared" si="408"/>
        <v>8.3625823495891183</v>
      </c>
      <c r="CH34" s="37">
        <f>SUM(CH28:CH33)+CH3+CH4+CH9+CH5</f>
        <v>656</v>
      </c>
      <c r="CI34" s="37">
        <f t="shared" ref="CI34" si="412">SUM(CI28:CI33)+CI3+CI4+CI9+CI5</f>
        <v>4191</v>
      </c>
      <c r="CJ34" s="39">
        <f t="shared" si="408"/>
        <v>0.8847818364973955</v>
      </c>
      <c r="CK34" s="39">
        <f t="shared" si="408"/>
        <v>7.9984278019364545</v>
      </c>
      <c r="CL34" s="37">
        <f>SUM(CL28:CL33)+CL3+CL4+CL9+CL5</f>
        <v>1308</v>
      </c>
      <c r="CM34" s="37">
        <f t="shared" ref="CM34" si="413">SUM(CM28:CM33)+CM3+CM4+CM9+CM5</f>
        <v>9730</v>
      </c>
      <c r="CN34" s="39">
        <f t="shared" si="408"/>
        <v>0.80735267442584524</v>
      </c>
      <c r="CO34" s="39">
        <f t="shared" si="408"/>
        <v>7.2984681768096396</v>
      </c>
      <c r="CP34" s="37">
        <f>SUM(CP28:CP33)+CP3+CP4+CP9+CP5</f>
        <v>1383</v>
      </c>
      <c r="CQ34" s="37">
        <f t="shared" ref="CQ34" si="414">SUM(CQ28:CQ33)+CQ3+CQ4+CQ9+CQ5</f>
        <v>11611</v>
      </c>
      <c r="CR34" s="39">
        <f t="shared" si="408"/>
        <v>0.93205975180570044</v>
      </c>
      <c r="CS34" s="39">
        <f t="shared" si="408"/>
        <v>8.42582015632353</v>
      </c>
      <c r="CT34" s="37">
        <f>SUM(CT28:CT33)+CT3+CT4+CT9+CT5</f>
        <v>1404</v>
      </c>
      <c r="CU34" s="37">
        <f t="shared" ref="CU34" si="415">SUM(CU28:CU33)+CU3+CU4+CU9+CU5</f>
        <v>10432</v>
      </c>
      <c r="CV34" s="39">
        <f t="shared" si="408"/>
        <v>0.87541348367245175</v>
      </c>
      <c r="CW34" s="39">
        <f t="shared" si="408"/>
        <v>7.9137378923989621</v>
      </c>
      <c r="CX34" s="37">
        <f>SUM(CX28:CX33)+CX3+CX4+CX9+CX5</f>
        <v>1369</v>
      </c>
      <c r="CY34" s="37">
        <f t="shared" ref="CY34" si="416">SUM(CY28:CY33)+CY3+CY4+CY9+CY5</f>
        <v>6532</v>
      </c>
      <c r="CZ34" s="39">
        <f t="shared" si="408"/>
        <v>0.78532033604822682</v>
      </c>
      <c r="DA34" s="39">
        <f t="shared" si="408"/>
        <v>7.0992958378759701</v>
      </c>
      <c r="DB34" s="37">
        <f>SUM(DB28:DB33)+DB3+DB4+DB9+DB5</f>
        <v>1388</v>
      </c>
      <c r="DC34" s="37">
        <f t="shared" ref="DC34" si="417">SUM(DC28:DC33)+DC3+DC4+DC9+DC5</f>
        <v>9082</v>
      </c>
      <c r="DD34" s="39">
        <f t="shared" si="408"/>
        <v>0.84759276116375859</v>
      </c>
      <c r="DE34" s="39">
        <f t="shared" si="408"/>
        <v>7.6622385609203763</v>
      </c>
      <c r="DF34" s="37">
        <f>SUM(DF28:DF33)+DF3+DF4+DF9+DF5</f>
        <v>1478</v>
      </c>
      <c r="DG34" s="37">
        <f t="shared" ref="DG34" si="418">SUM(DG28:DG33)+DG3+DG4+DG9+DG5</f>
        <v>11011</v>
      </c>
      <c r="DH34" s="39">
        <f t="shared" si="408"/>
        <v>0.82152212819868886</v>
      </c>
      <c r="DI34" s="39">
        <f t="shared" si="408"/>
        <v>7.4265600389161461</v>
      </c>
      <c r="DJ34" s="37">
        <f>SUM(DJ28:DJ33)+DJ3+DJ4+DJ9+DJ5</f>
        <v>1027</v>
      </c>
      <c r="DK34" s="37">
        <f t="shared" ref="DK34" si="419">SUM(DK28:DK33)+DK3+DK4+DK9+DK5</f>
        <v>5630</v>
      </c>
      <c r="DL34" s="39">
        <f t="shared" si="408"/>
        <v>0.74104217897773206</v>
      </c>
      <c r="DM34" s="39">
        <f t="shared" si="408"/>
        <v>6.6990212979586969</v>
      </c>
      <c r="DN34" s="37">
        <f>SUM(DN28:DN33)+DN3+DN4+DN9+DN5</f>
        <v>1496</v>
      </c>
      <c r="DO34" s="37">
        <f t="shared" ref="DO34" si="420">SUM(DO28:DO33)+DO3+DO4+DO9+DO5</f>
        <v>10503</v>
      </c>
      <c r="DP34" s="39">
        <f t="shared" si="408"/>
        <v>0.98964475672971175</v>
      </c>
      <c r="DQ34" s="39">
        <f t="shared" si="408"/>
        <v>8.9463886008365936</v>
      </c>
      <c r="DR34" s="37">
        <f>SUM(DR28:DR33)+DR3+DR4+DR9+DR5</f>
        <v>605</v>
      </c>
      <c r="DS34" s="37">
        <f t="shared" ref="DS34" si="421">SUM(DS28:DS33)+DS3+DS4+DS9+DS5</f>
        <v>1067</v>
      </c>
      <c r="DT34" s="39">
        <f t="shared" si="408"/>
        <v>2.318746470920384</v>
      </c>
      <c r="DU34" s="39">
        <f t="shared" si="408"/>
        <v>20.961468097120267</v>
      </c>
      <c r="DV34" s="37">
        <f>SUM(DV28:DV33)+DV3+DV4+DV9+DV5</f>
        <v>0</v>
      </c>
      <c r="DW34" s="37">
        <f t="shared" ref="DW34" si="422">SUM(DW28:DW33)+DW3+DW4+DW9+DW5</f>
        <v>0</v>
      </c>
      <c r="DX34" s="39">
        <f t="shared" si="408"/>
        <v>0</v>
      </c>
      <c r="DY34" s="39">
        <f t="shared" si="408"/>
        <v>0</v>
      </c>
      <c r="DZ34" s="37">
        <f t="shared" si="408"/>
        <v>35281</v>
      </c>
      <c r="EA34" s="37">
        <f t="shared" si="408"/>
        <v>226894</v>
      </c>
      <c r="EB34" s="39">
        <f t="shared" si="408"/>
        <v>0.93032255056172752</v>
      </c>
      <c r="EC34" s="39">
        <f t="shared" si="408"/>
        <v>8.4101158570780168</v>
      </c>
      <c r="ED34" s="29"/>
      <c r="EE34" s="29"/>
      <c r="EF34" s="29"/>
      <c r="EG34" s="29"/>
      <c r="EH34" s="29"/>
      <c r="EI34" s="29"/>
      <c r="EJ34" s="29"/>
      <c r="EK34" s="29"/>
      <c r="EL34" s="29"/>
      <c r="EM34" s="29"/>
      <c r="EN34" s="29"/>
      <c r="EO34" s="29"/>
      <c r="EP34" s="29"/>
      <c r="EQ34" s="29"/>
      <c r="ER34" s="29"/>
      <c r="ES34" s="29"/>
      <c r="ET34" s="30"/>
      <c r="EU34" s="30"/>
      <c r="EV34" s="30"/>
      <c r="EW34" s="30"/>
      <c r="EX34" s="30"/>
      <c r="EY34" s="30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31"/>
      <c r="GR34" s="31"/>
      <c r="GS34" s="31"/>
      <c r="GT34" s="31"/>
      <c r="GU34" s="31"/>
      <c r="GV34" s="31"/>
      <c r="GW34" s="31"/>
      <c r="GX34" s="31"/>
      <c r="GY34" s="31"/>
      <c r="GZ34" s="31"/>
      <c r="HA34" s="31"/>
      <c r="HB34" s="31"/>
      <c r="HC34" s="31"/>
      <c r="HD34" s="31"/>
      <c r="HE34" s="31"/>
      <c r="HF34" s="31"/>
      <c r="HG34" s="31"/>
      <c r="HH34" s="31"/>
      <c r="HI34" s="31"/>
      <c r="HJ34" s="31"/>
      <c r="HK34" s="31"/>
      <c r="HL34" s="31"/>
      <c r="HM34" s="31"/>
      <c r="HN34" s="31"/>
      <c r="HO34" s="31"/>
      <c r="HP34" s="31"/>
      <c r="HQ34" s="31"/>
      <c r="HR34" s="31"/>
      <c r="HS34" s="31"/>
      <c r="HT34" s="31"/>
      <c r="HU34" s="31"/>
      <c r="HV34" s="31"/>
      <c r="HW34" s="31"/>
      <c r="HX34" s="31"/>
      <c r="HY34" s="31"/>
      <c r="HZ34" s="31"/>
      <c r="IA34" s="31"/>
      <c r="IB34" s="31"/>
      <c r="IC34" s="31"/>
      <c r="ID34" s="31"/>
      <c r="IE34" s="31"/>
      <c r="IF34" s="31"/>
      <c r="IG34" s="31"/>
      <c r="IH34" s="31"/>
      <c r="II34" s="31"/>
      <c r="IJ34" s="31"/>
      <c r="IK34" s="31"/>
      <c r="IL34" s="31"/>
      <c r="IM34" s="31"/>
      <c r="IN34" s="31"/>
      <c r="IO34" s="31"/>
      <c r="IP34" s="31"/>
      <c r="IQ34" s="31"/>
      <c r="IR34" s="31"/>
      <c r="IS34" s="31"/>
      <c r="IT34" s="31"/>
      <c r="IU34" s="31"/>
      <c r="IV34" s="31"/>
      <c r="IW34" s="31"/>
      <c r="IX34" s="31"/>
      <c r="IY34" s="31"/>
      <c r="IZ34" s="31"/>
      <c r="JA34" s="31"/>
      <c r="JB34" s="31"/>
      <c r="JC34" s="31"/>
      <c r="JD34" s="31"/>
      <c r="JE34" s="31"/>
      <c r="JF34" s="31"/>
      <c r="JG34" s="31"/>
      <c r="JH34" s="31"/>
      <c r="JI34" s="31"/>
      <c r="JJ34" s="31"/>
      <c r="JK34" s="31"/>
      <c r="JL34" s="31"/>
      <c r="JM34" s="31"/>
    </row>
    <row r="35" spans="1:273" s="32" customFormat="1" ht="25.5" x14ac:dyDescent="0.35">
      <c r="A35" s="24"/>
      <c r="B35" s="24"/>
      <c r="C35" s="24"/>
      <c r="D35" s="25"/>
      <c r="E35" s="34"/>
      <c r="F35" s="26"/>
      <c r="G35" s="26"/>
      <c r="H35" s="27"/>
      <c r="I35" s="27"/>
      <c r="J35" s="26"/>
      <c r="K35" s="26"/>
      <c r="L35" s="27"/>
      <c r="M35" s="27"/>
      <c r="N35" s="26"/>
      <c r="O35" s="26"/>
      <c r="P35" s="27"/>
      <c r="Q35" s="27"/>
      <c r="R35" s="26"/>
      <c r="S35" s="26"/>
      <c r="T35" s="27"/>
      <c r="U35" s="27"/>
      <c r="V35" s="26"/>
      <c r="W35" s="26"/>
      <c r="X35" s="27"/>
      <c r="Y35" s="27"/>
      <c r="Z35" s="26"/>
      <c r="AA35" s="26"/>
      <c r="AB35" s="27"/>
      <c r="AC35" s="27"/>
      <c r="AD35" s="26"/>
      <c r="AE35" s="26"/>
      <c r="AF35" s="27"/>
      <c r="AG35" s="27"/>
      <c r="AH35" s="26"/>
      <c r="AI35" s="26"/>
      <c r="AJ35" s="27"/>
      <c r="AK35" s="27"/>
      <c r="AL35" s="26"/>
      <c r="AM35" s="26"/>
      <c r="AN35" s="27"/>
      <c r="AO35" s="27"/>
      <c r="AP35" s="26"/>
      <c r="AQ35" s="26"/>
      <c r="AR35" s="27"/>
      <c r="AS35" s="27"/>
      <c r="AT35" s="26"/>
      <c r="AU35" s="26"/>
      <c r="AV35" s="27"/>
      <c r="AW35" s="27"/>
      <c r="AX35" s="26"/>
      <c r="AY35" s="26"/>
      <c r="AZ35" s="27"/>
      <c r="BA35" s="27"/>
      <c r="BB35" s="26"/>
      <c r="BC35" s="26"/>
      <c r="BD35" s="27"/>
      <c r="BE35" s="27"/>
      <c r="BF35" s="26"/>
      <c r="BG35" s="26"/>
      <c r="BH35" s="27"/>
      <c r="BI35" s="27"/>
      <c r="BJ35" s="26"/>
      <c r="BK35" s="26"/>
      <c r="BL35" s="27"/>
      <c r="BM35" s="27"/>
      <c r="BN35" s="26"/>
      <c r="BO35" s="26"/>
      <c r="BP35" s="27"/>
      <c r="BQ35" s="27"/>
      <c r="BR35" s="26"/>
      <c r="BS35" s="26"/>
      <c r="BT35" s="27"/>
      <c r="BU35" s="27"/>
      <c r="BV35" s="26"/>
      <c r="BW35" s="26"/>
      <c r="BX35" s="27"/>
      <c r="BY35" s="27"/>
      <c r="BZ35" s="26"/>
      <c r="CA35" s="26"/>
      <c r="CB35" s="27"/>
      <c r="CC35" s="27"/>
      <c r="CD35" s="26"/>
      <c r="CE35" s="26"/>
      <c r="CF35" s="27"/>
      <c r="CG35" s="27"/>
      <c r="CH35" s="26"/>
      <c r="CI35" s="26"/>
      <c r="CJ35" s="27"/>
      <c r="CK35" s="27"/>
      <c r="CL35" s="26"/>
      <c r="CM35" s="26"/>
      <c r="CN35" s="27"/>
      <c r="CO35" s="27"/>
      <c r="CP35" s="26"/>
      <c r="CQ35" s="26"/>
      <c r="CR35" s="27"/>
      <c r="CS35" s="27"/>
      <c r="CT35" s="26"/>
      <c r="CU35" s="26"/>
      <c r="CV35" s="27"/>
      <c r="CW35" s="27"/>
      <c r="CX35" s="26"/>
      <c r="CY35" s="26"/>
      <c r="CZ35" s="27"/>
      <c r="DA35" s="27"/>
      <c r="DB35" s="26"/>
      <c r="DC35" s="26"/>
      <c r="DD35" s="27"/>
      <c r="DE35" s="27"/>
      <c r="DF35" s="26"/>
      <c r="DG35" s="26"/>
      <c r="DH35" s="27"/>
      <c r="DI35" s="27"/>
      <c r="DJ35" s="26"/>
      <c r="DK35" s="26"/>
      <c r="DL35" s="27"/>
      <c r="DM35" s="27"/>
      <c r="DN35" s="26"/>
      <c r="DO35" s="26"/>
      <c r="DP35" s="27"/>
      <c r="DQ35" s="27"/>
      <c r="DR35" s="26"/>
      <c r="DS35" s="26"/>
      <c r="DT35" s="27"/>
      <c r="DU35" s="27"/>
      <c r="DV35" s="26"/>
      <c r="DW35" s="26"/>
      <c r="DX35" s="27"/>
      <c r="DY35" s="27"/>
      <c r="DZ35" s="44"/>
      <c r="EA35" s="44"/>
      <c r="EB35" s="45"/>
      <c r="EC35" s="45"/>
    </row>
    <row r="36" spans="1:273" s="32" customFormat="1" ht="25.5" x14ac:dyDescent="0.35">
      <c r="A36" s="24"/>
      <c r="B36" s="24"/>
      <c r="C36" s="24">
        <v>45</v>
      </c>
      <c r="D36" s="25" t="s">
        <v>301</v>
      </c>
      <c r="E36" s="72" t="s">
        <v>281</v>
      </c>
      <c r="F36" s="67">
        <v>0</v>
      </c>
      <c r="G36" s="26">
        <f>'Production data'!B14</f>
        <v>0</v>
      </c>
      <c r="H36" s="27">
        <f t="shared" ref="H36:H40" si="423">IF((G36=0),0,F36/G36)</f>
        <v>0</v>
      </c>
      <c r="I36" s="27">
        <f t="shared" si="0"/>
        <v>0</v>
      </c>
      <c r="J36" s="67">
        <v>0</v>
      </c>
      <c r="K36" s="26">
        <f>'Production data'!C14</f>
        <v>0</v>
      </c>
      <c r="L36" s="27">
        <f t="shared" ref="L36:L40" si="424">IF((K36=0),0,J36/K36)</f>
        <v>0</v>
      </c>
      <c r="M36" s="27">
        <f t="shared" ref="M36:M40" si="425">L36*9.04</f>
        <v>0</v>
      </c>
      <c r="N36" s="67">
        <v>2</v>
      </c>
      <c r="O36" s="26">
        <f>'Production data'!D14</f>
        <v>0</v>
      </c>
      <c r="P36" s="27">
        <f t="shared" ref="P36:P40" si="426">IF((O36=0),0,N36/O36)</f>
        <v>0</v>
      </c>
      <c r="Q36" s="27">
        <f t="shared" ref="Q36:Q40" si="427">P36*9.04</f>
        <v>0</v>
      </c>
      <c r="R36" s="67">
        <v>0</v>
      </c>
      <c r="S36" s="26">
        <f>'Production data'!E14</f>
        <v>0</v>
      </c>
      <c r="T36" s="27">
        <f t="shared" ref="T36:T40" si="428">IF((S36=0),0,R36/S36)</f>
        <v>0</v>
      </c>
      <c r="U36" s="27">
        <f t="shared" ref="U36:U40" si="429">T36*9.04</f>
        <v>0</v>
      </c>
      <c r="V36" s="67">
        <v>9</v>
      </c>
      <c r="W36" s="26">
        <f>'Production data'!F14</f>
        <v>0</v>
      </c>
      <c r="X36" s="27">
        <f t="shared" ref="X36:X40" si="430">IF((W36=0),0,V36/W36)</f>
        <v>0</v>
      </c>
      <c r="Y36" s="27">
        <f t="shared" ref="Y36:Y40" si="431">X36*9.04</f>
        <v>0</v>
      </c>
      <c r="Z36" s="67">
        <v>0</v>
      </c>
      <c r="AA36" s="26">
        <f>'Production data'!G14</f>
        <v>0</v>
      </c>
      <c r="AB36" s="27">
        <f t="shared" ref="AB36:AB40" si="432">IF((AA36=0),0,Z36/AA36)</f>
        <v>0</v>
      </c>
      <c r="AC36" s="27">
        <f t="shared" ref="AC36:AC40" si="433">AB36*9.04</f>
        <v>0</v>
      </c>
      <c r="AD36" s="67">
        <v>0</v>
      </c>
      <c r="AE36" s="26">
        <f>'Production data'!H14</f>
        <v>0</v>
      </c>
      <c r="AF36" s="27">
        <f t="shared" ref="AF36:AF40" si="434">IF((AE36=0),0,AD36/AE36)</f>
        <v>0</v>
      </c>
      <c r="AG36" s="27">
        <f t="shared" ref="AG36:AG40" si="435">AF36*9.04</f>
        <v>0</v>
      </c>
      <c r="AH36" s="67">
        <v>49</v>
      </c>
      <c r="AI36" s="26">
        <f>'Production data'!I14</f>
        <v>175</v>
      </c>
      <c r="AJ36" s="27">
        <f t="shared" ref="AJ36:AJ40" si="436">IF((AI36=0),0,AH36/AI36)</f>
        <v>0.28000000000000003</v>
      </c>
      <c r="AK36" s="27">
        <f t="shared" ref="AK36:AK40" si="437">AJ36*9.04</f>
        <v>2.5312000000000001</v>
      </c>
      <c r="AL36" s="67">
        <v>58</v>
      </c>
      <c r="AM36" s="26">
        <f>'Production data'!J14</f>
        <v>360</v>
      </c>
      <c r="AN36" s="27">
        <f t="shared" ref="AN36:AN40" si="438">IF((AM36=0),0,AL36/AM36)</f>
        <v>0.16111111111111112</v>
      </c>
      <c r="AO36" s="27">
        <f t="shared" ref="AO36:AO40" si="439">AN36*9.04</f>
        <v>1.4564444444444444</v>
      </c>
      <c r="AP36" s="56">
        <v>24</v>
      </c>
      <c r="AQ36" s="26">
        <f>'Production data'!K14</f>
        <v>246</v>
      </c>
      <c r="AR36" s="27">
        <f t="shared" ref="AR36:AR40" si="440">IF((AQ36=0),0,AP36/AQ36)</f>
        <v>9.7560975609756101E-2</v>
      </c>
      <c r="AS36" s="27">
        <f t="shared" ref="AS36:AS40" si="441">AR36*9.04</f>
        <v>0.88195121951219502</v>
      </c>
      <c r="AT36" s="67">
        <v>6</v>
      </c>
      <c r="AU36" s="26">
        <f>'Production data'!L14</f>
        <v>0</v>
      </c>
      <c r="AV36" s="27">
        <f t="shared" ref="AV36:AV40" si="442">IF((AU36=0),0,AT36/AU36)</f>
        <v>0</v>
      </c>
      <c r="AW36" s="27">
        <f t="shared" ref="AW36:AW40" si="443">AV36*9.04</f>
        <v>0</v>
      </c>
      <c r="AX36" s="67">
        <v>93</v>
      </c>
      <c r="AY36" s="26">
        <f>'Production data'!M14</f>
        <v>619</v>
      </c>
      <c r="AZ36" s="27">
        <f t="shared" ref="AZ36:AZ40" si="444">IF((AY36=0),0,AX36/AY36)</f>
        <v>0.15024232633279483</v>
      </c>
      <c r="BA36" s="27">
        <f t="shared" ref="BA36:BA40" si="445">AZ36*9.04</f>
        <v>1.3581906300484652</v>
      </c>
      <c r="BB36" s="67">
        <v>50</v>
      </c>
      <c r="BC36" s="26">
        <f>'Production data'!N14</f>
        <v>0</v>
      </c>
      <c r="BD36" s="27">
        <f t="shared" ref="BD36:BD40" si="446">IF((BC36=0),0,BB36/BC36)</f>
        <v>0</v>
      </c>
      <c r="BE36" s="27">
        <f t="shared" ref="BE36:BE40" si="447">BD36*9.04</f>
        <v>0</v>
      </c>
      <c r="BF36" s="67">
        <v>5</v>
      </c>
      <c r="BG36" s="26">
        <f>'Production data'!O14</f>
        <v>0</v>
      </c>
      <c r="BH36" s="27">
        <f t="shared" ref="BH36:BH40" si="448">IF((BG36=0),0,BF36/BG36)</f>
        <v>0</v>
      </c>
      <c r="BI36" s="27">
        <f t="shared" ref="BI36:BI40" si="449">BH36*9.04</f>
        <v>0</v>
      </c>
      <c r="BJ36" s="67">
        <v>4</v>
      </c>
      <c r="BK36" s="26">
        <f>'Production data'!P14</f>
        <v>0</v>
      </c>
      <c r="BL36" s="27">
        <f t="shared" ref="BL36:BL40" si="450">IF((BK36=0),0,BJ36/BK36)</f>
        <v>0</v>
      </c>
      <c r="BM36" s="27">
        <f t="shared" ref="BM36:BM40" si="451">BL36*9.04</f>
        <v>0</v>
      </c>
      <c r="BN36" s="67">
        <v>4</v>
      </c>
      <c r="BO36" s="26">
        <f>'Production data'!Q14</f>
        <v>0</v>
      </c>
      <c r="BP36" s="27">
        <f t="shared" ref="BP36:BP40" si="452">IF((BO36=0),0,BN36/BO36)</f>
        <v>0</v>
      </c>
      <c r="BQ36" s="27">
        <f t="shared" ref="BQ36:BQ40" si="453">BP36*9.04</f>
        <v>0</v>
      </c>
      <c r="BR36" s="67">
        <v>80</v>
      </c>
      <c r="BS36" s="26">
        <f>'Production data'!R14</f>
        <v>593</v>
      </c>
      <c r="BT36" s="27">
        <f t="shared" ref="BT36:BT40" si="454">IF((BS36=0),0,BR36/BS36)</f>
        <v>0.13490725126475547</v>
      </c>
      <c r="BU36" s="27">
        <f t="shared" ref="BU36:BU40" si="455">BT36*9.04</f>
        <v>1.2195615514333893</v>
      </c>
      <c r="BV36" s="67">
        <v>78</v>
      </c>
      <c r="BW36" s="26">
        <f>'Production data'!S14</f>
        <v>400</v>
      </c>
      <c r="BX36" s="27">
        <f t="shared" ref="BX36:BX40" si="456">IF((BW36=0),0,BV36/BW36)</f>
        <v>0.19500000000000001</v>
      </c>
      <c r="BY36" s="27">
        <f t="shared" ref="BY36:BY40" si="457">BX36*9.04</f>
        <v>1.7627999999999999</v>
      </c>
      <c r="BZ36" s="67">
        <v>77</v>
      </c>
      <c r="CA36" s="26">
        <f>'Production data'!T14</f>
        <v>460</v>
      </c>
      <c r="CB36" s="27">
        <f t="shared" ref="CB36:CB40" si="458">IF((CA36=0),0,BZ36/CA36)</f>
        <v>0.16739130434782609</v>
      </c>
      <c r="CC36" s="27">
        <f t="shared" ref="CC36:CC40" si="459">CB36*9.04</f>
        <v>1.5132173913043476</v>
      </c>
      <c r="CD36" s="66">
        <v>7</v>
      </c>
      <c r="CE36" s="26">
        <f>'Production data'!U14</f>
        <v>204</v>
      </c>
      <c r="CF36" s="27">
        <f t="shared" ref="CF36:CF40" si="460">IF((CE36=0),0,CD36/CE36)</f>
        <v>3.4313725490196081E-2</v>
      </c>
      <c r="CG36" s="27">
        <f t="shared" ref="CG36:CG40" si="461">CF36*9.04</f>
        <v>0.31019607843137254</v>
      </c>
      <c r="CH36" s="66">
        <v>0</v>
      </c>
      <c r="CI36" s="26">
        <f>'Production data'!V14</f>
        <v>0</v>
      </c>
      <c r="CJ36" s="27">
        <f t="shared" ref="CJ36:CJ40" si="462">IF((CI36=0),0,CH36/CI36)</f>
        <v>0</v>
      </c>
      <c r="CK36" s="27">
        <f t="shared" ref="CK36:CK40" si="463">CJ36*9.04</f>
        <v>0</v>
      </c>
      <c r="CL36" s="61">
        <v>5</v>
      </c>
      <c r="CM36" s="26">
        <f>'Production data'!W14</f>
        <v>105</v>
      </c>
      <c r="CN36" s="27">
        <f t="shared" ref="CN36:CN40" si="464">IF((CM36=0),0,CL36/CM36)</f>
        <v>4.7619047619047616E-2</v>
      </c>
      <c r="CO36" s="27">
        <f t="shared" ref="CO36:CO40" si="465">CN36*9.04</f>
        <v>0.4304761904761904</v>
      </c>
      <c r="CP36" s="8">
        <v>6</v>
      </c>
      <c r="CQ36" s="26">
        <f>'Production data'!X14</f>
        <v>213</v>
      </c>
      <c r="CR36" s="27">
        <f t="shared" ref="CR36:CR40" si="466">IF((CQ36=0),0,CP36/CQ36)</f>
        <v>2.8169014084507043E-2</v>
      </c>
      <c r="CS36" s="27">
        <f t="shared" ref="CS36:CS40" si="467">CR36*9.04</f>
        <v>0.25464788732394367</v>
      </c>
      <c r="CT36" s="8">
        <v>6</v>
      </c>
      <c r="CU36" s="26">
        <f>'Production data'!Y14</f>
        <v>0</v>
      </c>
      <c r="CV36" s="27">
        <f t="shared" ref="CV36:CV40" si="468">IF((CU36=0),0,CT36/CU36)</f>
        <v>0</v>
      </c>
      <c r="CW36" s="27">
        <f t="shared" ref="CW36:CW40" si="469">CV36*9.04</f>
        <v>0</v>
      </c>
      <c r="CX36" s="8">
        <v>7</v>
      </c>
      <c r="CY36" s="26">
        <f>'Production data'!Z14</f>
        <v>0</v>
      </c>
      <c r="CZ36" s="27">
        <f t="shared" ref="CZ36:CZ40" si="470">IF((CY36=0),0,CX36/CY36)</f>
        <v>0</v>
      </c>
      <c r="DA36" s="27">
        <f t="shared" ref="DA36:DA40" si="471">CZ36*9.04</f>
        <v>0</v>
      </c>
      <c r="DB36" s="63">
        <v>7</v>
      </c>
      <c r="DC36" s="26">
        <f>'Production data'!AA14</f>
        <v>0</v>
      </c>
      <c r="DD36" s="27">
        <f t="shared" ref="DD36:DD40" si="472">IF((DC36=0),0,DB36/DC36)</f>
        <v>0</v>
      </c>
      <c r="DE36" s="27">
        <f t="shared" ref="DE36:DE40" si="473">DD36*9.04</f>
        <v>0</v>
      </c>
      <c r="DF36" s="8">
        <v>6</v>
      </c>
      <c r="DG36" s="26">
        <f>'Production data'!AB14</f>
        <v>0</v>
      </c>
      <c r="DH36" s="27">
        <f t="shared" ref="DH36:DH40" si="474">IF((DG36=0),0,DF36/DG36)</f>
        <v>0</v>
      </c>
      <c r="DI36" s="27">
        <f t="shared" ref="DI36:DI40" si="475">DH36*9.04</f>
        <v>0</v>
      </c>
      <c r="DJ36" s="8">
        <v>0</v>
      </c>
      <c r="DK36" s="26">
        <f>'Production data'!AC14</f>
        <v>0</v>
      </c>
      <c r="DL36" s="27">
        <f t="shared" ref="DL36:DL40" si="476">IF((DK36=0),0,DJ36/DK36)</f>
        <v>0</v>
      </c>
      <c r="DM36" s="27">
        <f t="shared" ref="DM36:DM40" si="477">DL36*9.04</f>
        <v>0</v>
      </c>
      <c r="DN36" s="8">
        <v>9</v>
      </c>
      <c r="DO36" s="26">
        <f>'Production data'!AD14</f>
        <v>0</v>
      </c>
      <c r="DP36" s="27">
        <f t="shared" ref="DP36:DP40" si="478">IF((DO36=0),0,DN36/DO36)</f>
        <v>0</v>
      </c>
      <c r="DQ36" s="27">
        <f t="shared" ref="DQ36:DQ40" si="479">DP36*9.04</f>
        <v>0</v>
      </c>
      <c r="DR36" s="8">
        <v>4</v>
      </c>
      <c r="DS36" s="26">
        <f>'Production data'!AE14</f>
        <v>0</v>
      </c>
      <c r="DT36" s="27">
        <f t="shared" ref="DT36:DT40" si="480">IF((DS36=0),0,DR36/DS36)</f>
        <v>0</v>
      </c>
      <c r="DU36" s="27">
        <f t="shared" ref="DU36:DU40" si="481">DT36*9.04</f>
        <v>0</v>
      </c>
      <c r="DV36" s="8"/>
      <c r="DW36" s="26">
        <f>'Production data'!AF14</f>
        <v>0</v>
      </c>
      <c r="DX36" s="27">
        <f t="shared" ref="DX36:DX40" si="482">IF((DW36=0),0,DV36/DW36)</f>
        <v>0</v>
      </c>
      <c r="DY36" s="27">
        <f t="shared" ref="DY36:DY40" si="483">DX36*9.04</f>
        <v>0</v>
      </c>
      <c r="DZ36" s="28">
        <f t="shared" ref="DZ36:DZ40" si="484">F36+J36+N36+R36+V36+Z36+AD36+AH36+AL36+AP36+AT36+AX36+BB36+BF36+BJ36+BN36+BR36+BV36+BZ36+CD36+CH36+CL36+CP36+CT36+CX36+DB36+DF36+DJ36+DN36+DR36+DV36</f>
        <v>596</v>
      </c>
      <c r="EA36" s="28">
        <f t="shared" ref="EA36:EA40" si="485">G36+K36+O36+S36+W36+AA36+AI36+AM36+AQ36+AU36+AY36+BC36+BG36+BK36+BO36+BS36+BW36+CA36+CE36+CI36+CM36+CQ36+CU36+CY36+DC36+DG36+DK36+DO36+DS36+DW36</f>
        <v>3375</v>
      </c>
      <c r="EB36" s="33">
        <f t="shared" ref="EB36:EB40" si="486">IF((EA36=0),0,DZ36/EA36)</f>
        <v>0.17659259259259258</v>
      </c>
      <c r="EC36" s="33">
        <f t="shared" ref="EC36:EC40" si="487">EB36*9.04</f>
        <v>1.5963970370370368</v>
      </c>
    </row>
    <row r="37" spans="1:273" s="32" customFormat="1" ht="25.5" x14ac:dyDescent="0.35">
      <c r="A37" s="24"/>
      <c r="B37" s="24"/>
      <c r="C37" s="24">
        <v>46</v>
      </c>
      <c r="D37" s="25" t="s">
        <v>303</v>
      </c>
      <c r="E37" s="72"/>
      <c r="F37" s="67">
        <v>0</v>
      </c>
      <c r="G37" s="26">
        <f>G36</f>
        <v>0</v>
      </c>
      <c r="H37" s="27">
        <f t="shared" si="423"/>
        <v>0</v>
      </c>
      <c r="I37" s="27">
        <f t="shared" si="0"/>
        <v>0</v>
      </c>
      <c r="J37" s="67">
        <v>7</v>
      </c>
      <c r="K37" s="26">
        <f>K36</f>
        <v>0</v>
      </c>
      <c r="L37" s="27">
        <f t="shared" si="424"/>
        <v>0</v>
      </c>
      <c r="M37" s="27">
        <f t="shared" si="425"/>
        <v>0</v>
      </c>
      <c r="N37" s="67">
        <v>13</v>
      </c>
      <c r="O37" s="26">
        <f>O36</f>
        <v>0</v>
      </c>
      <c r="P37" s="27">
        <f t="shared" si="426"/>
        <v>0</v>
      </c>
      <c r="Q37" s="27">
        <f t="shared" si="427"/>
        <v>0</v>
      </c>
      <c r="R37" s="67">
        <v>14</v>
      </c>
      <c r="S37" s="26">
        <f>S36</f>
        <v>0</v>
      </c>
      <c r="T37" s="27">
        <f t="shared" si="428"/>
        <v>0</v>
      </c>
      <c r="U37" s="27">
        <f t="shared" si="429"/>
        <v>0</v>
      </c>
      <c r="V37" s="67">
        <v>14</v>
      </c>
      <c r="W37" s="26">
        <f>W36</f>
        <v>0</v>
      </c>
      <c r="X37" s="27">
        <f t="shared" si="430"/>
        <v>0</v>
      </c>
      <c r="Y37" s="27">
        <f t="shared" si="431"/>
        <v>0</v>
      </c>
      <c r="Z37" s="67">
        <v>0</v>
      </c>
      <c r="AA37" s="26">
        <f>AA36</f>
        <v>0</v>
      </c>
      <c r="AB37" s="27">
        <f t="shared" si="432"/>
        <v>0</v>
      </c>
      <c r="AC37" s="27">
        <f t="shared" si="433"/>
        <v>0</v>
      </c>
      <c r="AD37" s="67">
        <v>0</v>
      </c>
      <c r="AE37" s="26">
        <f>AE36</f>
        <v>0</v>
      </c>
      <c r="AF37" s="27">
        <f t="shared" si="434"/>
        <v>0</v>
      </c>
      <c r="AG37" s="27">
        <f t="shared" si="435"/>
        <v>0</v>
      </c>
      <c r="AH37" s="67">
        <v>8</v>
      </c>
      <c r="AI37" s="26">
        <f>AI36</f>
        <v>175</v>
      </c>
      <c r="AJ37" s="27">
        <f t="shared" si="436"/>
        <v>4.5714285714285714E-2</v>
      </c>
      <c r="AK37" s="27">
        <f t="shared" si="437"/>
        <v>0.41325714285714282</v>
      </c>
      <c r="AL37" s="67">
        <v>11</v>
      </c>
      <c r="AM37" s="26">
        <f>AM36</f>
        <v>360</v>
      </c>
      <c r="AN37" s="27">
        <f t="shared" si="438"/>
        <v>3.0555555555555555E-2</v>
      </c>
      <c r="AO37" s="27">
        <f t="shared" si="439"/>
        <v>0.2762222222222222</v>
      </c>
      <c r="AP37" s="56">
        <v>18</v>
      </c>
      <c r="AQ37" s="26">
        <f>AQ36</f>
        <v>246</v>
      </c>
      <c r="AR37" s="27">
        <f t="shared" si="440"/>
        <v>7.3170731707317069E-2</v>
      </c>
      <c r="AS37" s="27">
        <f t="shared" si="441"/>
        <v>0.66146341463414626</v>
      </c>
      <c r="AT37" s="67">
        <v>5</v>
      </c>
      <c r="AU37" s="26">
        <f>AU36</f>
        <v>0</v>
      </c>
      <c r="AV37" s="27">
        <f t="shared" si="442"/>
        <v>0</v>
      </c>
      <c r="AW37" s="27">
        <f t="shared" si="443"/>
        <v>0</v>
      </c>
      <c r="AX37" s="67">
        <v>24</v>
      </c>
      <c r="AY37" s="26">
        <f>AY36</f>
        <v>619</v>
      </c>
      <c r="AZ37" s="27">
        <f t="shared" si="444"/>
        <v>3.8772213247172858E-2</v>
      </c>
      <c r="BA37" s="27">
        <f t="shared" si="445"/>
        <v>0.35050080775444259</v>
      </c>
      <c r="BB37" s="67">
        <v>15</v>
      </c>
      <c r="BC37" s="26">
        <f>BC36</f>
        <v>0</v>
      </c>
      <c r="BD37" s="27">
        <f t="shared" si="446"/>
        <v>0</v>
      </c>
      <c r="BE37" s="27">
        <f t="shared" si="447"/>
        <v>0</v>
      </c>
      <c r="BF37" s="67">
        <v>16</v>
      </c>
      <c r="BG37" s="26">
        <f>BG36</f>
        <v>0</v>
      </c>
      <c r="BH37" s="27">
        <f t="shared" si="448"/>
        <v>0</v>
      </c>
      <c r="BI37" s="27">
        <f t="shared" si="449"/>
        <v>0</v>
      </c>
      <c r="BJ37" s="67">
        <v>13</v>
      </c>
      <c r="BK37" s="26">
        <f>BK36</f>
        <v>0</v>
      </c>
      <c r="BL37" s="27">
        <f t="shared" si="450"/>
        <v>0</v>
      </c>
      <c r="BM37" s="27">
        <f t="shared" si="451"/>
        <v>0</v>
      </c>
      <c r="BN37" s="67">
        <v>13</v>
      </c>
      <c r="BO37" s="26">
        <f>BO36</f>
        <v>0</v>
      </c>
      <c r="BP37" s="27">
        <f t="shared" si="452"/>
        <v>0</v>
      </c>
      <c r="BQ37" s="27">
        <f t="shared" si="453"/>
        <v>0</v>
      </c>
      <c r="BR37" s="67">
        <v>13</v>
      </c>
      <c r="BS37" s="26">
        <f>BS36</f>
        <v>593</v>
      </c>
      <c r="BT37" s="27">
        <f t="shared" si="454"/>
        <v>2.1922428330522766E-2</v>
      </c>
      <c r="BU37" s="27">
        <f t="shared" si="455"/>
        <v>0.19817875210792579</v>
      </c>
      <c r="BV37" s="67">
        <v>14</v>
      </c>
      <c r="BW37" s="26">
        <f>BW36</f>
        <v>400</v>
      </c>
      <c r="BX37" s="27">
        <f t="shared" si="456"/>
        <v>3.5000000000000003E-2</v>
      </c>
      <c r="BY37" s="27">
        <f t="shared" si="457"/>
        <v>0.31640000000000001</v>
      </c>
      <c r="BZ37" s="67">
        <v>14</v>
      </c>
      <c r="CA37" s="26">
        <f>CA36</f>
        <v>460</v>
      </c>
      <c r="CB37" s="27">
        <f t="shared" si="458"/>
        <v>3.0434782608695653E-2</v>
      </c>
      <c r="CC37" s="27">
        <f t="shared" si="459"/>
        <v>0.27513043478260868</v>
      </c>
      <c r="CD37" s="66">
        <v>14</v>
      </c>
      <c r="CE37" s="26">
        <f>CE36</f>
        <v>204</v>
      </c>
      <c r="CF37" s="27">
        <f t="shared" si="460"/>
        <v>6.8627450980392163E-2</v>
      </c>
      <c r="CG37" s="27">
        <f t="shared" si="461"/>
        <v>0.62039215686274507</v>
      </c>
      <c r="CH37" s="66">
        <v>1</v>
      </c>
      <c r="CI37" s="26">
        <f>CI36</f>
        <v>0</v>
      </c>
      <c r="CJ37" s="27">
        <f t="shared" si="462"/>
        <v>0</v>
      </c>
      <c r="CK37" s="27">
        <f t="shared" si="463"/>
        <v>0</v>
      </c>
      <c r="CL37" s="61">
        <v>11</v>
      </c>
      <c r="CM37" s="26">
        <f>CM36</f>
        <v>105</v>
      </c>
      <c r="CN37" s="27">
        <f t="shared" si="464"/>
        <v>0.10476190476190476</v>
      </c>
      <c r="CO37" s="27">
        <f t="shared" si="465"/>
        <v>0.94704761904761903</v>
      </c>
      <c r="CP37" s="8">
        <v>17</v>
      </c>
      <c r="CQ37" s="26">
        <f>CQ36</f>
        <v>213</v>
      </c>
      <c r="CR37" s="27">
        <f t="shared" si="466"/>
        <v>7.9812206572769953E-2</v>
      </c>
      <c r="CS37" s="27">
        <f t="shared" si="467"/>
        <v>0.72150234741784036</v>
      </c>
      <c r="CT37" s="8">
        <v>19</v>
      </c>
      <c r="CU37" s="26">
        <f>CU36</f>
        <v>0</v>
      </c>
      <c r="CV37" s="27">
        <f t="shared" si="468"/>
        <v>0</v>
      </c>
      <c r="CW37" s="27">
        <f t="shared" si="469"/>
        <v>0</v>
      </c>
      <c r="CX37" s="8">
        <v>15</v>
      </c>
      <c r="CY37" s="26">
        <f>CY36</f>
        <v>0</v>
      </c>
      <c r="CZ37" s="27">
        <f t="shared" si="470"/>
        <v>0</v>
      </c>
      <c r="DA37" s="27">
        <f t="shared" si="471"/>
        <v>0</v>
      </c>
      <c r="DB37" s="63">
        <v>16</v>
      </c>
      <c r="DC37" s="26">
        <f>DC36</f>
        <v>0</v>
      </c>
      <c r="DD37" s="27">
        <f t="shared" si="472"/>
        <v>0</v>
      </c>
      <c r="DE37" s="27">
        <f t="shared" si="473"/>
        <v>0</v>
      </c>
      <c r="DF37" s="8">
        <v>15</v>
      </c>
      <c r="DG37" s="26">
        <f>DG36</f>
        <v>0</v>
      </c>
      <c r="DH37" s="27">
        <f t="shared" si="474"/>
        <v>0</v>
      </c>
      <c r="DI37" s="27">
        <f t="shared" si="475"/>
        <v>0</v>
      </c>
      <c r="DJ37" s="8">
        <v>19</v>
      </c>
      <c r="DK37" s="26">
        <f>DK36</f>
        <v>0</v>
      </c>
      <c r="DL37" s="27">
        <f t="shared" si="476"/>
        <v>0</v>
      </c>
      <c r="DM37" s="27">
        <f t="shared" si="477"/>
        <v>0</v>
      </c>
      <c r="DN37" s="8">
        <v>14</v>
      </c>
      <c r="DO37" s="26">
        <f>DO36</f>
        <v>0</v>
      </c>
      <c r="DP37" s="27">
        <f t="shared" si="478"/>
        <v>0</v>
      </c>
      <c r="DQ37" s="27">
        <f t="shared" si="479"/>
        <v>0</v>
      </c>
      <c r="DR37" s="8">
        <v>16</v>
      </c>
      <c r="DS37" s="26">
        <f>DS36</f>
        <v>0</v>
      </c>
      <c r="DT37" s="27">
        <f t="shared" si="480"/>
        <v>0</v>
      </c>
      <c r="DU37" s="27">
        <f t="shared" si="481"/>
        <v>0</v>
      </c>
      <c r="DV37" s="8"/>
      <c r="DW37" s="26">
        <f>DW36</f>
        <v>0</v>
      </c>
      <c r="DX37" s="27">
        <f t="shared" si="482"/>
        <v>0</v>
      </c>
      <c r="DY37" s="27">
        <f t="shared" si="483"/>
        <v>0</v>
      </c>
      <c r="DZ37" s="28">
        <f t="shared" si="484"/>
        <v>369</v>
      </c>
      <c r="EA37" s="28">
        <f t="shared" si="485"/>
        <v>3375</v>
      </c>
      <c r="EB37" s="33">
        <f t="shared" si="486"/>
        <v>0.10933333333333334</v>
      </c>
      <c r="EC37" s="33">
        <f t="shared" si="487"/>
        <v>0.98837333333333333</v>
      </c>
    </row>
    <row r="38" spans="1:273" s="32" customFormat="1" ht="25.5" x14ac:dyDescent="0.35">
      <c r="A38" s="24"/>
      <c r="B38" s="24"/>
      <c r="C38" s="24">
        <v>47</v>
      </c>
      <c r="D38" s="25" t="s">
        <v>302</v>
      </c>
      <c r="E38" s="72"/>
      <c r="F38" s="67">
        <v>0</v>
      </c>
      <c r="G38" s="26">
        <f>G37</f>
        <v>0</v>
      </c>
      <c r="H38" s="27">
        <f t="shared" si="423"/>
        <v>0</v>
      </c>
      <c r="I38" s="27">
        <f t="shared" si="0"/>
        <v>0</v>
      </c>
      <c r="J38" s="67">
        <v>0</v>
      </c>
      <c r="K38" s="26">
        <f>K37</f>
        <v>0</v>
      </c>
      <c r="L38" s="27">
        <f t="shared" si="424"/>
        <v>0</v>
      </c>
      <c r="M38" s="27">
        <f t="shared" si="425"/>
        <v>0</v>
      </c>
      <c r="N38" s="67">
        <v>0</v>
      </c>
      <c r="O38" s="26">
        <f>O37</f>
        <v>0</v>
      </c>
      <c r="P38" s="27">
        <f t="shared" si="426"/>
        <v>0</v>
      </c>
      <c r="Q38" s="27">
        <f t="shared" si="427"/>
        <v>0</v>
      </c>
      <c r="R38" s="67">
        <v>0</v>
      </c>
      <c r="S38" s="26">
        <f>S37</f>
        <v>0</v>
      </c>
      <c r="T38" s="27">
        <f t="shared" si="428"/>
        <v>0</v>
      </c>
      <c r="U38" s="27">
        <f t="shared" si="429"/>
        <v>0</v>
      </c>
      <c r="V38" s="67">
        <v>0</v>
      </c>
      <c r="W38" s="26">
        <f>W37</f>
        <v>0</v>
      </c>
      <c r="X38" s="27">
        <f t="shared" si="430"/>
        <v>0</v>
      </c>
      <c r="Y38" s="27">
        <f t="shared" si="431"/>
        <v>0</v>
      </c>
      <c r="Z38" s="67">
        <v>0</v>
      </c>
      <c r="AA38" s="26">
        <f>AA37</f>
        <v>0</v>
      </c>
      <c r="AB38" s="27">
        <f t="shared" si="432"/>
        <v>0</v>
      </c>
      <c r="AC38" s="27">
        <f t="shared" si="433"/>
        <v>0</v>
      </c>
      <c r="AD38" s="67">
        <v>0</v>
      </c>
      <c r="AE38" s="26">
        <f>AE37</f>
        <v>0</v>
      </c>
      <c r="AF38" s="27">
        <f t="shared" si="434"/>
        <v>0</v>
      </c>
      <c r="AG38" s="27">
        <f t="shared" si="435"/>
        <v>0</v>
      </c>
      <c r="AH38" s="67">
        <v>2</v>
      </c>
      <c r="AI38" s="26">
        <f>AI37</f>
        <v>175</v>
      </c>
      <c r="AJ38" s="27">
        <f t="shared" si="436"/>
        <v>1.1428571428571429E-2</v>
      </c>
      <c r="AK38" s="27">
        <f t="shared" si="437"/>
        <v>0.10331428571428571</v>
      </c>
      <c r="AL38" s="67">
        <v>27</v>
      </c>
      <c r="AM38" s="26">
        <f>AM37</f>
        <v>360</v>
      </c>
      <c r="AN38" s="27">
        <f t="shared" si="438"/>
        <v>7.4999999999999997E-2</v>
      </c>
      <c r="AO38" s="27">
        <f t="shared" si="439"/>
        <v>0.67799999999999994</v>
      </c>
      <c r="AP38" s="56">
        <v>40</v>
      </c>
      <c r="AQ38" s="26">
        <f>AQ37</f>
        <v>246</v>
      </c>
      <c r="AR38" s="27">
        <f t="shared" si="440"/>
        <v>0.16260162601626016</v>
      </c>
      <c r="AS38" s="27">
        <f t="shared" si="441"/>
        <v>1.4699186991869917</v>
      </c>
      <c r="AT38" s="67">
        <v>4</v>
      </c>
      <c r="AU38" s="26">
        <f>AU37</f>
        <v>0</v>
      </c>
      <c r="AV38" s="27">
        <f t="shared" si="442"/>
        <v>0</v>
      </c>
      <c r="AW38" s="27">
        <f t="shared" si="443"/>
        <v>0</v>
      </c>
      <c r="AX38" s="67">
        <v>43</v>
      </c>
      <c r="AY38" s="26">
        <f>AY37</f>
        <v>619</v>
      </c>
      <c r="AZ38" s="27">
        <f t="shared" si="444"/>
        <v>6.9466882067851371E-2</v>
      </c>
      <c r="BA38" s="27">
        <f t="shared" si="445"/>
        <v>0.62798061389337634</v>
      </c>
      <c r="BB38" s="67">
        <v>23</v>
      </c>
      <c r="BC38" s="26">
        <f>BC37</f>
        <v>0</v>
      </c>
      <c r="BD38" s="27">
        <f t="shared" si="446"/>
        <v>0</v>
      </c>
      <c r="BE38" s="27">
        <f t="shared" si="447"/>
        <v>0</v>
      </c>
      <c r="BF38" s="67">
        <v>2</v>
      </c>
      <c r="BG38" s="26">
        <f>BG37</f>
        <v>0</v>
      </c>
      <c r="BH38" s="27">
        <f t="shared" si="448"/>
        <v>0</v>
      </c>
      <c r="BI38" s="27">
        <f t="shared" si="449"/>
        <v>0</v>
      </c>
      <c r="BJ38" s="67">
        <v>26</v>
      </c>
      <c r="BK38" s="26">
        <f>BK37</f>
        <v>0</v>
      </c>
      <c r="BL38" s="27">
        <f t="shared" si="450"/>
        <v>0</v>
      </c>
      <c r="BM38" s="27">
        <f t="shared" si="451"/>
        <v>0</v>
      </c>
      <c r="BN38" s="67">
        <v>26</v>
      </c>
      <c r="BO38" s="26">
        <f>BO37</f>
        <v>0</v>
      </c>
      <c r="BP38" s="27">
        <f t="shared" si="452"/>
        <v>0</v>
      </c>
      <c r="BQ38" s="27">
        <f t="shared" si="453"/>
        <v>0</v>
      </c>
      <c r="BR38" s="67">
        <v>31</v>
      </c>
      <c r="BS38" s="26">
        <f>BS37</f>
        <v>593</v>
      </c>
      <c r="BT38" s="27">
        <f t="shared" si="454"/>
        <v>5.2276559865092748E-2</v>
      </c>
      <c r="BU38" s="27">
        <f t="shared" si="455"/>
        <v>0.47258010118043842</v>
      </c>
      <c r="BV38" s="67">
        <v>39</v>
      </c>
      <c r="BW38" s="26">
        <f>BW37</f>
        <v>400</v>
      </c>
      <c r="BX38" s="27">
        <f t="shared" si="456"/>
        <v>9.7500000000000003E-2</v>
      </c>
      <c r="BY38" s="27">
        <f t="shared" si="457"/>
        <v>0.88139999999999996</v>
      </c>
      <c r="BZ38" s="67">
        <v>46</v>
      </c>
      <c r="CA38" s="26">
        <f>CA37</f>
        <v>460</v>
      </c>
      <c r="CB38" s="27">
        <f t="shared" si="458"/>
        <v>0.1</v>
      </c>
      <c r="CC38" s="27">
        <f t="shared" si="459"/>
        <v>0.90399999999999991</v>
      </c>
      <c r="CD38" s="66">
        <v>30</v>
      </c>
      <c r="CE38" s="26">
        <f>CE37</f>
        <v>204</v>
      </c>
      <c r="CF38" s="27">
        <f t="shared" si="460"/>
        <v>0.14705882352941177</v>
      </c>
      <c r="CG38" s="27">
        <f t="shared" si="461"/>
        <v>1.3294117647058823</v>
      </c>
      <c r="CH38" s="66">
        <v>0</v>
      </c>
      <c r="CI38" s="26">
        <f>CI37</f>
        <v>0</v>
      </c>
      <c r="CJ38" s="27">
        <f t="shared" si="462"/>
        <v>0</v>
      </c>
      <c r="CK38" s="27">
        <f t="shared" si="463"/>
        <v>0</v>
      </c>
      <c r="CL38" s="61">
        <v>16</v>
      </c>
      <c r="CM38" s="26">
        <f>CM37</f>
        <v>105</v>
      </c>
      <c r="CN38" s="27">
        <f t="shared" si="464"/>
        <v>0.15238095238095239</v>
      </c>
      <c r="CO38" s="27">
        <f t="shared" si="465"/>
        <v>1.3775238095238096</v>
      </c>
      <c r="CP38" s="8">
        <v>26</v>
      </c>
      <c r="CQ38" s="26">
        <f>CQ37</f>
        <v>213</v>
      </c>
      <c r="CR38" s="27">
        <f t="shared" si="466"/>
        <v>0.12206572769953052</v>
      </c>
      <c r="CS38" s="27">
        <f t="shared" si="467"/>
        <v>1.1034741784037558</v>
      </c>
      <c r="CT38" s="8">
        <v>0</v>
      </c>
      <c r="CU38" s="26">
        <f>CU37</f>
        <v>0</v>
      </c>
      <c r="CV38" s="27">
        <f t="shared" si="468"/>
        <v>0</v>
      </c>
      <c r="CW38" s="27">
        <f t="shared" si="469"/>
        <v>0</v>
      </c>
      <c r="CX38" s="8">
        <v>1</v>
      </c>
      <c r="CY38" s="26">
        <f>CY37</f>
        <v>0</v>
      </c>
      <c r="CZ38" s="27">
        <f t="shared" si="470"/>
        <v>0</v>
      </c>
      <c r="DA38" s="27">
        <f t="shared" si="471"/>
        <v>0</v>
      </c>
      <c r="DB38" s="63">
        <v>0</v>
      </c>
      <c r="DC38" s="26">
        <f>DC37</f>
        <v>0</v>
      </c>
      <c r="DD38" s="27">
        <f t="shared" si="472"/>
        <v>0</v>
      </c>
      <c r="DE38" s="27">
        <f t="shared" si="473"/>
        <v>0</v>
      </c>
      <c r="DF38" s="8">
        <v>0</v>
      </c>
      <c r="DG38" s="26">
        <f>DG37</f>
        <v>0</v>
      </c>
      <c r="DH38" s="27">
        <f t="shared" si="474"/>
        <v>0</v>
      </c>
      <c r="DI38" s="27">
        <f t="shared" si="475"/>
        <v>0</v>
      </c>
      <c r="DJ38" s="8">
        <v>0</v>
      </c>
      <c r="DK38" s="26">
        <f>DK37</f>
        <v>0</v>
      </c>
      <c r="DL38" s="27">
        <f t="shared" si="476"/>
        <v>0</v>
      </c>
      <c r="DM38" s="27">
        <f t="shared" si="477"/>
        <v>0</v>
      </c>
      <c r="DN38" s="8">
        <v>0</v>
      </c>
      <c r="DO38" s="26">
        <f>DO37</f>
        <v>0</v>
      </c>
      <c r="DP38" s="27">
        <f t="shared" si="478"/>
        <v>0</v>
      </c>
      <c r="DQ38" s="27">
        <f t="shared" si="479"/>
        <v>0</v>
      </c>
      <c r="DR38" s="8">
        <v>0</v>
      </c>
      <c r="DS38" s="26">
        <f>DS37</f>
        <v>0</v>
      </c>
      <c r="DT38" s="27">
        <f t="shared" si="480"/>
        <v>0</v>
      </c>
      <c r="DU38" s="27">
        <f t="shared" si="481"/>
        <v>0</v>
      </c>
      <c r="DV38" s="8"/>
      <c r="DW38" s="26">
        <f>DW37</f>
        <v>0</v>
      </c>
      <c r="DX38" s="27">
        <f t="shared" si="482"/>
        <v>0</v>
      </c>
      <c r="DY38" s="27">
        <f t="shared" si="483"/>
        <v>0</v>
      </c>
      <c r="DZ38" s="28">
        <f t="shared" si="484"/>
        <v>382</v>
      </c>
      <c r="EA38" s="28">
        <f t="shared" si="485"/>
        <v>3375</v>
      </c>
      <c r="EB38" s="33">
        <f t="shared" si="486"/>
        <v>0.11318518518518518</v>
      </c>
      <c r="EC38" s="33">
        <f t="shared" si="487"/>
        <v>1.0231940740740739</v>
      </c>
    </row>
    <row r="39" spans="1:273" s="32" customFormat="1" ht="25.5" x14ac:dyDescent="0.35">
      <c r="A39" s="24"/>
      <c r="B39" s="24"/>
      <c r="C39" s="24">
        <v>51</v>
      </c>
      <c r="D39" s="25" t="s">
        <v>305</v>
      </c>
      <c r="E39" s="72"/>
      <c r="F39" s="65">
        <v>0</v>
      </c>
      <c r="G39" s="26">
        <f>G38</f>
        <v>0</v>
      </c>
      <c r="H39" s="27">
        <f t="shared" si="423"/>
        <v>0</v>
      </c>
      <c r="I39" s="27">
        <f t="shared" si="0"/>
        <v>0</v>
      </c>
      <c r="J39" s="65">
        <v>12</v>
      </c>
      <c r="K39" s="26">
        <f>K38</f>
        <v>0</v>
      </c>
      <c r="L39" s="27">
        <f t="shared" si="424"/>
        <v>0</v>
      </c>
      <c r="M39" s="27">
        <f t="shared" si="425"/>
        <v>0</v>
      </c>
      <c r="N39" s="65">
        <v>24</v>
      </c>
      <c r="O39" s="26">
        <f>O38</f>
        <v>0</v>
      </c>
      <c r="P39" s="27">
        <f t="shared" si="426"/>
        <v>0</v>
      </c>
      <c r="Q39" s="27">
        <f t="shared" si="427"/>
        <v>0</v>
      </c>
      <c r="R39" s="65">
        <v>20</v>
      </c>
      <c r="S39" s="26">
        <f>S38</f>
        <v>0</v>
      </c>
      <c r="T39" s="27">
        <f t="shared" si="428"/>
        <v>0</v>
      </c>
      <c r="U39" s="27">
        <f t="shared" si="429"/>
        <v>0</v>
      </c>
      <c r="V39" s="65">
        <v>13</v>
      </c>
      <c r="W39" s="26">
        <f>W38</f>
        <v>0</v>
      </c>
      <c r="X39" s="27">
        <f t="shared" si="430"/>
        <v>0</v>
      </c>
      <c r="Y39" s="27">
        <f t="shared" si="431"/>
        <v>0</v>
      </c>
      <c r="Z39" s="65">
        <v>0</v>
      </c>
      <c r="AA39" s="26">
        <f>AA38</f>
        <v>0</v>
      </c>
      <c r="AB39" s="27">
        <f t="shared" si="432"/>
        <v>0</v>
      </c>
      <c r="AC39" s="27">
        <f t="shared" si="433"/>
        <v>0</v>
      </c>
      <c r="AD39" s="65">
        <v>0</v>
      </c>
      <c r="AE39" s="26">
        <f>AE38</f>
        <v>0</v>
      </c>
      <c r="AF39" s="27">
        <f t="shared" si="434"/>
        <v>0</v>
      </c>
      <c r="AG39" s="27">
        <f t="shared" si="435"/>
        <v>0</v>
      </c>
      <c r="AH39" s="66">
        <v>22</v>
      </c>
      <c r="AI39" s="26">
        <f>AI38</f>
        <v>175</v>
      </c>
      <c r="AJ39" s="27">
        <f t="shared" si="436"/>
        <v>0.12571428571428572</v>
      </c>
      <c r="AK39" s="27">
        <f t="shared" si="437"/>
        <v>1.1364571428571428</v>
      </c>
      <c r="AL39" s="66">
        <v>22</v>
      </c>
      <c r="AM39" s="26">
        <f>AM38</f>
        <v>360</v>
      </c>
      <c r="AN39" s="27">
        <f t="shared" si="438"/>
        <v>6.1111111111111109E-2</v>
      </c>
      <c r="AO39" s="27">
        <f t="shared" si="439"/>
        <v>0.5524444444444444</v>
      </c>
      <c r="AP39" s="66">
        <v>22</v>
      </c>
      <c r="AQ39" s="26">
        <f>AQ38</f>
        <v>246</v>
      </c>
      <c r="AR39" s="27">
        <f t="shared" si="440"/>
        <v>8.943089430894309E-2</v>
      </c>
      <c r="AS39" s="27">
        <f t="shared" si="441"/>
        <v>0.80845528455284543</v>
      </c>
      <c r="AT39" s="66">
        <v>15</v>
      </c>
      <c r="AU39" s="26">
        <f>AU38</f>
        <v>0</v>
      </c>
      <c r="AV39" s="27">
        <f t="shared" si="442"/>
        <v>0</v>
      </c>
      <c r="AW39" s="27">
        <f t="shared" si="443"/>
        <v>0</v>
      </c>
      <c r="AX39" s="67">
        <v>36</v>
      </c>
      <c r="AY39" s="26">
        <f>AY38</f>
        <v>619</v>
      </c>
      <c r="AZ39" s="27">
        <f t="shared" si="444"/>
        <v>5.8158319870759291E-2</v>
      </c>
      <c r="BA39" s="27">
        <f t="shared" si="445"/>
        <v>0.52575121163166394</v>
      </c>
      <c r="BB39" s="67">
        <v>21</v>
      </c>
      <c r="BC39" s="26">
        <f>BC38</f>
        <v>0</v>
      </c>
      <c r="BD39" s="27">
        <f t="shared" si="446"/>
        <v>0</v>
      </c>
      <c r="BE39" s="27">
        <f t="shared" si="447"/>
        <v>0</v>
      </c>
      <c r="BF39" s="67">
        <v>8</v>
      </c>
      <c r="BG39" s="26">
        <f>BG38</f>
        <v>0</v>
      </c>
      <c r="BH39" s="27">
        <f t="shared" si="448"/>
        <v>0</v>
      </c>
      <c r="BI39" s="27">
        <f t="shared" si="449"/>
        <v>0</v>
      </c>
      <c r="BJ39" s="67">
        <v>15</v>
      </c>
      <c r="BK39" s="26">
        <f>BK38</f>
        <v>0</v>
      </c>
      <c r="BL39" s="27">
        <f t="shared" si="450"/>
        <v>0</v>
      </c>
      <c r="BM39" s="27">
        <f t="shared" si="451"/>
        <v>0</v>
      </c>
      <c r="BN39" s="64">
        <v>17</v>
      </c>
      <c r="BO39" s="26">
        <f>BO38</f>
        <v>0</v>
      </c>
      <c r="BP39" s="27">
        <f t="shared" si="452"/>
        <v>0</v>
      </c>
      <c r="BQ39" s="27">
        <f t="shared" si="453"/>
        <v>0</v>
      </c>
      <c r="BR39" s="66">
        <v>20</v>
      </c>
      <c r="BS39" s="26">
        <f>BS38</f>
        <v>593</v>
      </c>
      <c r="BT39" s="27">
        <f t="shared" si="454"/>
        <v>3.3726812816188868E-2</v>
      </c>
      <c r="BU39" s="27">
        <f t="shared" si="455"/>
        <v>0.30489038785834732</v>
      </c>
      <c r="BV39" s="66">
        <v>20</v>
      </c>
      <c r="BW39" s="26">
        <f>BW38</f>
        <v>400</v>
      </c>
      <c r="BX39" s="27">
        <f t="shared" si="456"/>
        <v>0.05</v>
      </c>
      <c r="BY39" s="27">
        <f t="shared" si="457"/>
        <v>0.45199999999999996</v>
      </c>
      <c r="BZ39" s="66">
        <v>22</v>
      </c>
      <c r="CA39" s="26">
        <f>CA38</f>
        <v>460</v>
      </c>
      <c r="CB39" s="27">
        <f t="shared" si="458"/>
        <v>4.7826086956521741E-2</v>
      </c>
      <c r="CC39" s="27">
        <f t="shared" si="459"/>
        <v>0.43234782608695649</v>
      </c>
      <c r="CD39" s="66">
        <v>22</v>
      </c>
      <c r="CE39" s="26">
        <f>CE38</f>
        <v>204</v>
      </c>
      <c r="CF39" s="27">
        <f t="shared" si="460"/>
        <v>0.10784313725490197</v>
      </c>
      <c r="CG39" s="27">
        <f t="shared" si="461"/>
        <v>0.97490196078431368</v>
      </c>
      <c r="CH39" s="66">
        <v>1</v>
      </c>
      <c r="CI39" s="26">
        <f>CI38</f>
        <v>0</v>
      </c>
      <c r="CJ39" s="27">
        <f t="shared" si="462"/>
        <v>0</v>
      </c>
      <c r="CK39" s="27">
        <f t="shared" si="463"/>
        <v>0</v>
      </c>
      <c r="CL39" s="61">
        <v>17</v>
      </c>
      <c r="CM39" s="26">
        <f>CM38</f>
        <v>105</v>
      </c>
      <c r="CN39" s="27">
        <f t="shared" si="464"/>
        <v>0.16190476190476191</v>
      </c>
      <c r="CO39" s="27">
        <f t="shared" si="465"/>
        <v>1.4636190476190476</v>
      </c>
      <c r="CP39" s="8">
        <v>20</v>
      </c>
      <c r="CQ39" s="26">
        <f>CQ38</f>
        <v>213</v>
      </c>
      <c r="CR39" s="27">
        <f t="shared" si="466"/>
        <v>9.3896713615023469E-2</v>
      </c>
      <c r="CS39" s="27">
        <f t="shared" si="467"/>
        <v>0.84882629107981211</v>
      </c>
      <c r="CT39" s="8">
        <v>28</v>
      </c>
      <c r="CU39" s="26">
        <f>CU38</f>
        <v>0</v>
      </c>
      <c r="CV39" s="27">
        <f t="shared" si="468"/>
        <v>0</v>
      </c>
      <c r="CW39" s="27">
        <f t="shared" si="469"/>
        <v>0</v>
      </c>
      <c r="CX39" s="8">
        <v>19</v>
      </c>
      <c r="CY39" s="26">
        <f>CY38</f>
        <v>0</v>
      </c>
      <c r="CZ39" s="27">
        <f t="shared" si="470"/>
        <v>0</v>
      </c>
      <c r="DA39" s="27">
        <f t="shared" si="471"/>
        <v>0</v>
      </c>
      <c r="DB39" s="63">
        <v>17</v>
      </c>
      <c r="DC39" s="26">
        <f>DC38</f>
        <v>0</v>
      </c>
      <c r="DD39" s="27">
        <f t="shared" si="472"/>
        <v>0</v>
      </c>
      <c r="DE39" s="27">
        <f t="shared" si="473"/>
        <v>0</v>
      </c>
      <c r="DF39" s="8">
        <v>5</v>
      </c>
      <c r="DG39" s="26">
        <f>DG38</f>
        <v>0</v>
      </c>
      <c r="DH39" s="27">
        <f t="shared" si="474"/>
        <v>0</v>
      </c>
      <c r="DI39" s="27">
        <f t="shared" si="475"/>
        <v>0</v>
      </c>
      <c r="DJ39" s="8">
        <v>0</v>
      </c>
      <c r="DK39" s="26">
        <f>DK38</f>
        <v>0</v>
      </c>
      <c r="DL39" s="27">
        <f t="shared" si="476"/>
        <v>0</v>
      </c>
      <c r="DM39" s="27">
        <f t="shared" si="477"/>
        <v>0</v>
      </c>
      <c r="DN39" s="8">
        <v>21</v>
      </c>
      <c r="DO39" s="26">
        <f>DO38</f>
        <v>0</v>
      </c>
      <c r="DP39" s="27">
        <f t="shared" si="478"/>
        <v>0</v>
      </c>
      <c r="DQ39" s="27">
        <f t="shared" si="479"/>
        <v>0</v>
      </c>
      <c r="DR39" s="8">
        <v>5</v>
      </c>
      <c r="DS39" s="26">
        <f>DS38</f>
        <v>0</v>
      </c>
      <c r="DT39" s="27">
        <f t="shared" si="480"/>
        <v>0</v>
      </c>
      <c r="DU39" s="27">
        <f t="shared" si="481"/>
        <v>0</v>
      </c>
      <c r="DV39" s="8"/>
      <c r="DW39" s="26">
        <f>DW38</f>
        <v>0</v>
      </c>
      <c r="DX39" s="27">
        <f t="shared" si="482"/>
        <v>0</v>
      </c>
      <c r="DY39" s="27">
        <f t="shared" si="483"/>
        <v>0</v>
      </c>
      <c r="DZ39" s="28">
        <f t="shared" si="484"/>
        <v>464</v>
      </c>
      <c r="EA39" s="28">
        <f t="shared" si="485"/>
        <v>3375</v>
      </c>
      <c r="EB39" s="33">
        <f t="shared" si="486"/>
        <v>0.13748148148148148</v>
      </c>
      <c r="EC39" s="33">
        <f t="shared" si="487"/>
        <v>1.2428325925925925</v>
      </c>
    </row>
    <row r="40" spans="1:273" s="32" customFormat="1" ht="25.5" x14ac:dyDescent="0.35">
      <c r="A40" s="24"/>
      <c r="B40" s="24"/>
      <c r="C40" s="24">
        <v>53</v>
      </c>
      <c r="D40" s="25" t="s">
        <v>306</v>
      </c>
      <c r="E40" s="72"/>
      <c r="F40" s="66">
        <v>0</v>
      </c>
      <c r="G40" s="26">
        <f>G39</f>
        <v>0</v>
      </c>
      <c r="H40" s="27">
        <f t="shared" si="423"/>
        <v>0</v>
      </c>
      <c r="I40" s="27">
        <f t="shared" si="0"/>
        <v>0</v>
      </c>
      <c r="J40" s="66">
        <v>26</v>
      </c>
      <c r="K40" s="26">
        <f>K39</f>
        <v>0</v>
      </c>
      <c r="L40" s="27">
        <f t="shared" si="424"/>
        <v>0</v>
      </c>
      <c r="M40" s="27">
        <f t="shared" si="425"/>
        <v>0</v>
      </c>
      <c r="N40" s="66">
        <v>30</v>
      </c>
      <c r="O40" s="26">
        <f>O39</f>
        <v>0</v>
      </c>
      <c r="P40" s="27">
        <f t="shared" si="426"/>
        <v>0</v>
      </c>
      <c r="Q40" s="27">
        <f t="shared" si="427"/>
        <v>0</v>
      </c>
      <c r="R40" s="66">
        <v>51</v>
      </c>
      <c r="S40" s="26">
        <f>S39</f>
        <v>0</v>
      </c>
      <c r="T40" s="27">
        <f t="shared" si="428"/>
        <v>0</v>
      </c>
      <c r="U40" s="27">
        <f t="shared" si="429"/>
        <v>0</v>
      </c>
      <c r="V40" s="66">
        <v>57</v>
      </c>
      <c r="W40" s="26">
        <f>W39</f>
        <v>0</v>
      </c>
      <c r="X40" s="27">
        <f t="shared" si="430"/>
        <v>0</v>
      </c>
      <c r="Y40" s="27">
        <f t="shared" si="431"/>
        <v>0</v>
      </c>
      <c r="Z40" s="66">
        <v>1</v>
      </c>
      <c r="AA40" s="26">
        <f>AA39</f>
        <v>0</v>
      </c>
      <c r="AB40" s="27">
        <f t="shared" si="432"/>
        <v>0</v>
      </c>
      <c r="AC40" s="27">
        <f t="shared" si="433"/>
        <v>0</v>
      </c>
      <c r="AD40" s="66">
        <v>34</v>
      </c>
      <c r="AE40" s="26">
        <f>AE39</f>
        <v>0</v>
      </c>
      <c r="AF40" s="27">
        <f t="shared" si="434"/>
        <v>0</v>
      </c>
      <c r="AG40" s="27">
        <f t="shared" si="435"/>
        <v>0</v>
      </c>
      <c r="AH40" s="66">
        <v>22</v>
      </c>
      <c r="AI40" s="26">
        <f>AI39</f>
        <v>175</v>
      </c>
      <c r="AJ40" s="27">
        <f t="shared" si="436"/>
        <v>0.12571428571428572</v>
      </c>
      <c r="AK40" s="27">
        <f t="shared" si="437"/>
        <v>1.1364571428571428</v>
      </c>
      <c r="AL40" s="66">
        <v>30</v>
      </c>
      <c r="AM40" s="26">
        <f>AM39</f>
        <v>360</v>
      </c>
      <c r="AN40" s="27">
        <f t="shared" si="438"/>
        <v>8.3333333333333329E-2</v>
      </c>
      <c r="AO40" s="27">
        <f t="shared" si="439"/>
        <v>0.75333333333333319</v>
      </c>
      <c r="AP40" s="66">
        <v>22</v>
      </c>
      <c r="AQ40" s="26">
        <f>AQ39</f>
        <v>246</v>
      </c>
      <c r="AR40" s="27">
        <f t="shared" si="440"/>
        <v>8.943089430894309E-2</v>
      </c>
      <c r="AS40" s="27">
        <f t="shared" si="441"/>
        <v>0.80845528455284543</v>
      </c>
      <c r="AT40" s="66">
        <v>34</v>
      </c>
      <c r="AU40" s="26">
        <f>AU39</f>
        <v>0</v>
      </c>
      <c r="AV40" s="27">
        <f t="shared" si="442"/>
        <v>0</v>
      </c>
      <c r="AW40" s="27">
        <f t="shared" si="443"/>
        <v>0</v>
      </c>
      <c r="AX40" s="66">
        <v>7</v>
      </c>
      <c r="AY40" s="26">
        <f>AY39</f>
        <v>619</v>
      </c>
      <c r="AZ40" s="27">
        <f t="shared" si="444"/>
        <v>1.1308562197092083E-2</v>
      </c>
      <c r="BA40" s="27">
        <f t="shared" si="445"/>
        <v>0.10222940226171243</v>
      </c>
      <c r="BB40" s="67">
        <v>35</v>
      </c>
      <c r="BC40" s="26">
        <f>BC39</f>
        <v>0</v>
      </c>
      <c r="BD40" s="27">
        <f t="shared" si="446"/>
        <v>0</v>
      </c>
      <c r="BE40" s="27">
        <f t="shared" si="447"/>
        <v>0</v>
      </c>
      <c r="BF40" s="67">
        <v>15</v>
      </c>
      <c r="BG40" s="26">
        <f>BG39</f>
        <v>0</v>
      </c>
      <c r="BH40" s="27">
        <f t="shared" si="448"/>
        <v>0</v>
      </c>
      <c r="BI40" s="27">
        <f t="shared" si="449"/>
        <v>0</v>
      </c>
      <c r="BJ40" s="67">
        <v>26</v>
      </c>
      <c r="BK40" s="26">
        <f>BK39</f>
        <v>0</v>
      </c>
      <c r="BL40" s="27">
        <f t="shared" si="450"/>
        <v>0</v>
      </c>
      <c r="BM40" s="27">
        <f t="shared" si="451"/>
        <v>0</v>
      </c>
      <c r="BN40" s="64">
        <v>23</v>
      </c>
      <c r="BO40" s="26">
        <f>BO39</f>
        <v>0</v>
      </c>
      <c r="BP40" s="27">
        <f t="shared" si="452"/>
        <v>0</v>
      </c>
      <c r="BQ40" s="27">
        <f t="shared" si="453"/>
        <v>0</v>
      </c>
      <c r="BR40" s="66">
        <v>27</v>
      </c>
      <c r="BS40" s="26">
        <f>BS39</f>
        <v>593</v>
      </c>
      <c r="BT40" s="27">
        <f t="shared" si="454"/>
        <v>4.5531197301854974E-2</v>
      </c>
      <c r="BU40" s="27">
        <f t="shared" si="455"/>
        <v>0.41160202360876891</v>
      </c>
      <c r="BV40" s="66">
        <v>25</v>
      </c>
      <c r="BW40" s="26">
        <f>BW39</f>
        <v>400</v>
      </c>
      <c r="BX40" s="27">
        <f t="shared" si="456"/>
        <v>6.25E-2</v>
      </c>
      <c r="BY40" s="27">
        <f t="shared" si="457"/>
        <v>0.56499999999999995</v>
      </c>
      <c r="BZ40" s="66">
        <v>50</v>
      </c>
      <c r="CA40" s="26">
        <f>CA39</f>
        <v>460</v>
      </c>
      <c r="CB40" s="27">
        <f t="shared" si="458"/>
        <v>0.10869565217391304</v>
      </c>
      <c r="CC40" s="27">
        <f t="shared" si="459"/>
        <v>0.98260869565217379</v>
      </c>
      <c r="CD40" s="66">
        <v>41</v>
      </c>
      <c r="CE40" s="26">
        <f>CE39</f>
        <v>204</v>
      </c>
      <c r="CF40" s="27">
        <f t="shared" si="460"/>
        <v>0.20098039215686275</v>
      </c>
      <c r="CG40" s="27">
        <f t="shared" si="461"/>
        <v>1.816862745098039</v>
      </c>
      <c r="CH40" s="66">
        <v>11</v>
      </c>
      <c r="CI40" s="26">
        <f>CI39</f>
        <v>0</v>
      </c>
      <c r="CJ40" s="27">
        <f t="shared" si="462"/>
        <v>0</v>
      </c>
      <c r="CK40" s="27">
        <f t="shared" si="463"/>
        <v>0</v>
      </c>
      <c r="CL40" s="61">
        <v>27</v>
      </c>
      <c r="CM40" s="26">
        <f>CM39</f>
        <v>105</v>
      </c>
      <c r="CN40" s="27">
        <f t="shared" si="464"/>
        <v>0.25714285714285712</v>
      </c>
      <c r="CO40" s="27">
        <f t="shared" si="465"/>
        <v>2.3245714285714283</v>
      </c>
      <c r="CP40" s="8">
        <v>33</v>
      </c>
      <c r="CQ40" s="26">
        <f>CQ39</f>
        <v>213</v>
      </c>
      <c r="CR40" s="27">
        <f t="shared" si="466"/>
        <v>0.15492957746478872</v>
      </c>
      <c r="CS40" s="27">
        <f t="shared" si="467"/>
        <v>1.4005633802816899</v>
      </c>
      <c r="CT40" s="8">
        <v>41</v>
      </c>
      <c r="CU40" s="26">
        <f>CU39</f>
        <v>0</v>
      </c>
      <c r="CV40" s="27">
        <f t="shared" si="468"/>
        <v>0</v>
      </c>
      <c r="CW40" s="27">
        <f t="shared" si="469"/>
        <v>0</v>
      </c>
      <c r="CX40" s="8">
        <v>42</v>
      </c>
      <c r="CY40" s="26">
        <f>CY39</f>
        <v>0</v>
      </c>
      <c r="CZ40" s="27">
        <f t="shared" si="470"/>
        <v>0</v>
      </c>
      <c r="DA40" s="27">
        <f t="shared" si="471"/>
        <v>0</v>
      </c>
      <c r="DB40" s="63">
        <v>32</v>
      </c>
      <c r="DC40" s="26">
        <f>DC39</f>
        <v>0</v>
      </c>
      <c r="DD40" s="27">
        <f t="shared" si="472"/>
        <v>0</v>
      </c>
      <c r="DE40" s="27">
        <f t="shared" si="473"/>
        <v>0</v>
      </c>
      <c r="DF40" s="8">
        <v>37</v>
      </c>
      <c r="DG40" s="26">
        <f>DG39</f>
        <v>0</v>
      </c>
      <c r="DH40" s="27">
        <f t="shared" si="474"/>
        <v>0</v>
      </c>
      <c r="DI40" s="27">
        <f t="shared" si="475"/>
        <v>0</v>
      </c>
      <c r="DJ40" s="8">
        <v>27</v>
      </c>
      <c r="DK40" s="26">
        <f>DK39</f>
        <v>0</v>
      </c>
      <c r="DL40" s="27">
        <f t="shared" si="476"/>
        <v>0</v>
      </c>
      <c r="DM40" s="27">
        <f t="shared" si="477"/>
        <v>0</v>
      </c>
      <c r="DN40" s="8">
        <v>38</v>
      </c>
      <c r="DO40" s="26">
        <f>DO39</f>
        <v>0</v>
      </c>
      <c r="DP40" s="27">
        <f t="shared" si="478"/>
        <v>0</v>
      </c>
      <c r="DQ40" s="27">
        <f t="shared" si="479"/>
        <v>0</v>
      </c>
      <c r="DR40" s="8">
        <v>6</v>
      </c>
      <c r="DS40" s="26">
        <f>DS39</f>
        <v>0</v>
      </c>
      <c r="DT40" s="27">
        <f t="shared" si="480"/>
        <v>0</v>
      </c>
      <c r="DU40" s="27">
        <f t="shared" si="481"/>
        <v>0</v>
      </c>
      <c r="DV40" s="8"/>
      <c r="DW40" s="26">
        <f>DW39</f>
        <v>0</v>
      </c>
      <c r="DX40" s="27">
        <f t="shared" si="482"/>
        <v>0</v>
      </c>
      <c r="DY40" s="27">
        <f t="shared" si="483"/>
        <v>0</v>
      </c>
      <c r="DZ40" s="28">
        <f t="shared" si="484"/>
        <v>850</v>
      </c>
      <c r="EA40" s="28">
        <f t="shared" si="485"/>
        <v>3375</v>
      </c>
      <c r="EB40" s="33">
        <f t="shared" si="486"/>
        <v>0.25185185185185183</v>
      </c>
      <c r="EC40" s="33">
        <f t="shared" si="487"/>
        <v>2.2767407407407405</v>
      </c>
    </row>
    <row r="41" spans="1:273" s="32" customFormat="1" ht="25.5" x14ac:dyDescent="0.35">
      <c r="A41" s="24"/>
      <c r="B41" s="24"/>
      <c r="C41" s="24"/>
      <c r="D41" s="35" t="s">
        <v>332</v>
      </c>
      <c r="E41" s="36"/>
      <c r="F41" s="37">
        <f t="shared" ref="F41:AJ41" si="488">SUM(F36:F40)+F3+F4+F9</f>
        <v>6</v>
      </c>
      <c r="G41" s="37">
        <f t="shared" si="488"/>
        <v>0</v>
      </c>
      <c r="H41" s="39">
        <f t="shared" si="488"/>
        <v>0</v>
      </c>
      <c r="I41" s="39">
        <f t="shared" si="488"/>
        <v>0</v>
      </c>
      <c r="J41" s="37">
        <f t="shared" ref="J41" si="489">SUM(J36:J40)+J3+J4+J9</f>
        <v>1087</v>
      </c>
      <c r="K41" s="37">
        <f t="shared" si="488"/>
        <v>2298</v>
      </c>
      <c r="L41" s="39">
        <f t="shared" si="488"/>
        <v>1.3547780674993908</v>
      </c>
      <c r="M41" s="39">
        <f t="shared" si="488"/>
        <v>12.247193730194491</v>
      </c>
      <c r="N41" s="37">
        <f t="shared" ref="N41" si="490">SUM(N36:N40)+N3+N4+N9</f>
        <v>1300</v>
      </c>
      <c r="O41" s="37">
        <f t="shared" si="488"/>
        <v>5696</v>
      </c>
      <c r="P41" s="39">
        <f t="shared" si="488"/>
        <v>0.68861089359503314</v>
      </c>
      <c r="Q41" s="39">
        <f t="shared" si="488"/>
        <v>6.2250424780990992</v>
      </c>
      <c r="R41" s="37">
        <f t="shared" ref="R41" si="491">SUM(R36:R40)+R3+R4+R9</f>
        <v>1397</v>
      </c>
      <c r="S41" s="37">
        <f t="shared" si="488"/>
        <v>5940</v>
      </c>
      <c r="T41" s="39">
        <f t="shared" si="488"/>
        <v>0.66994400633988549</v>
      </c>
      <c r="U41" s="39">
        <f t="shared" si="488"/>
        <v>6.0562938173125636</v>
      </c>
      <c r="V41" s="37">
        <f t="shared" ref="V41" si="492">SUM(V36:V40)+V3+V4+V9</f>
        <v>1381</v>
      </c>
      <c r="W41" s="37">
        <f t="shared" si="488"/>
        <v>4404</v>
      </c>
      <c r="X41" s="39">
        <f t="shared" si="488"/>
        <v>0.78262693378972448</v>
      </c>
      <c r="Y41" s="39">
        <f t="shared" si="488"/>
        <v>7.074947481459108</v>
      </c>
      <c r="Z41" s="37">
        <f t="shared" ref="Z41" si="493">SUM(Z36:Z40)+Z3+Z4+Z9</f>
        <v>74</v>
      </c>
      <c r="AA41" s="37">
        <f t="shared" si="488"/>
        <v>0</v>
      </c>
      <c r="AB41" s="39">
        <f t="shared" si="488"/>
        <v>0</v>
      </c>
      <c r="AC41" s="39">
        <f t="shared" si="488"/>
        <v>0</v>
      </c>
      <c r="AD41" s="37">
        <f t="shared" ref="AD41" si="494">SUM(AD36:AD40)+AD3+AD4+AD9</f>
        <v>1144</v>
      </c>
      <c r="AE41" s="37">
        <f t="shared" si="488"/>
        <v>4162</v>
      </c>
      <c r="AF41" s="39">
        <f t="shared" si="488"/>
        <v>0.85874397283195214</v>
      </c>
      <c r="AG41" s="39">
        <f t="shared" si="488"/>
        <v>7.7630455144008463</v>
      </c>
      <c r="AH41" s="37">
        <f t="shared" ref="AH41" si="495">SUM(AH36:AH40)+AH3+AH4+AH9</f>
        <v>1212</v>
      </c>
      <c r="AI41" s="37">
        <f t="shared" si="488"/>
        <v>4327</v>
      </c>
      <c r="AJ41" s="39">
        <f t="shared" si="488"/>
        <v>1.5422498557429092</v>
      </c>
      <c r="AK41" s="39">
        <f t="shared" ref="AK41:BP41" si="496">SUM(AK36:AK40)+AK3+AK4+AK9</f>
        <v>13.941938695915896</v>
      </c>
      <c r="AL41" s="37">
        <f t="shared" ref="AL41" si="497">SUM(AL36:AL40)+AL3+AL4+AL9</f>
        <v>1438</v>
      </c>
      <c r="AM41" s="37">
        <f t="shared" si="496"/>
        <v>7430</v>
      </c>
      <c r="AN41" s="39">
        <f t="shared" si="496"/>
        <v>1.1645139445780985</v>
      </c>
      <c r="AO41" s="39">
        <f t="shared" si="496"/>
        <v>10.527206058986009</v>
      </c>
      <c r="AP41" s="37">
        <f t="shared" ref="AP41" si="498">SUM(AP36:AP40)+AP3+AP4+AP9</f>
        <v>1084</v>
      </c>
      <c r="AQ41" s="37">
        <f t="shared" si="496"/>
        <v>4020</v>
      </c>
      <c r="AR41" s="39">
        <f t="shared" si="496"/>
        <v>1.5849971103369034</v>
      </c>
      <c r="AS41" s="39">
        <f t="shared" si="496"/>
        <v>14.328373877445607</v>
      </c>
      <c r="AT41" s="37">
        <f t="shared" ref="AT41" si="499">SUM(AT36:AT40)+AT3+AT4+AT9</f>
        <v>1347</v>
      </c>
      <c r="AU41" s="37">
        <f t="shared" si="496"/>
        <v>4952</v>
      </c>
      <c r="AV41" s="39">
        <f t="shared" si="496"/>
        <v>0.82374190059030949</v>
      </c>
      <c r="AW41" s="39">
        <f t="shared" si="496"/>
        <v>7.4466267813363967</v>
      </c>
      <c r="AX41" s="37">
        <f t="shared" ref="AX41" si="500">SUM(AX36:AX40)+AX3+AX4+AX9</f>
        <v>1435</v>
      </c>
      <c r="AY41" s="37">
        <f t="shared" si="496"/>
        <v>7617</v>
      </c>
      <c r="AZ41" s="39">
        <f t="shared" si="496"/>
        <v>1.1781190207271186</v>
      </c>
      <c r="BA41" s="39">
        <f t="shared" si="496"/>
        <v>10.650195947373152</v>
      </c>
      <c r="BB41" s="37">
        <f t="shared" ref="BB41" si="501">SUM(BB36:BB40)+BB3+BB4+BB9</f>
        <v>1370</v>
      </c>
      <c r="BC41" s="37">
        <f t="shared" si="496"/>
        <v>4486</v>
      </c>
      <c r="BD41" s="39">
        <f t="shared" si="496"/>
        <v>0.84263834485563982</v>
      </c>
      <c r="BE41" s="39">
        <f t="shared" si="496"/>
        <v>7.6174506374949829</v>
      </c>
      <c r="BF41" s="37">
        <f t="shared" ref="BF41" si="502">SUM(BF36:BF40)+BF3+BF4+BF9</f>
        <v>721</v>
      </c>
      <c r="BG41" s="37">
        <f t="shared" si="496"/>
        <v>2140</v>
      </c>
      <c r="BH41" s="39">
        <f t="shared" si="496"/>
        <v>0.91320346320346324</v>
      </c>
      <c r="BI41" s="39">
        <f t="shared" si="496"/>
        <v>8.2553593073593081</v>
      </c>
      <c r="BJ41" s="37">
        <f t="shared" ref="BJ41" si="503">SUM(BJ36:BJ40)+BJ3+BJ4+BJ9</f>
        <v>1440</v>
      </c>
      <c r="BK41" s="37">
        <f t="shared" si="496"/>
        <v>5774</v>
      </c>
      <c r="BL41" s="39">
        <f t="shared" si="496"/>
        <v>0.70364763208744596</v>
      </c>
      <c r="BM41" s="39">
        <f t="shared" si="496"/>
        <v>6.3609745940705116</v>
      </c>
      <c r="BN41" s="37">
        <f t="shared" ref="BN41" si="504">SUM(BN36:BN40)+BN3+BN4+BN9</f>
        <v>1436</v>
      </c>
      <c r="BO41" s="37">
        <f t="shared" si="496"/>
        <v>5674</v>
      </c>
      <c r="BP41" s="39">
        <f t="shared" si="496"/>
        <v>0.74564188367869355</v>
      </c>
      <c r="BQ41" s="39">
        <f t="shared" ref="BQ41:CV41" si="505">SUM(BQ36:BQ40)+BQ3+BQ4+BQ9</f>
        <v>6.7406026284553882</v>
      </c>
      <c r="BR41" s="37">
        <f t="shared" ref="BR41" si="506">SUM(BR36:BR40)+BR3+BR4+BR9</f>
        <v>1490</v>
      </c>
      <c r="BS41" s="37">
        <f t="shared" si="505"/>
        <v>8639</v>
      </c>
      <c r="BT41" s="39">
        <f t="shared" si="505"/>
        <v>1.0337392629717503</v>
      </c>
      <c r="BU41" s="39">
        <f t="shared" si="505"/>
        <v>9.3450029372646206</v>
      </c>
      <c r="BV41" s="37">
        <f t="shared" ref="BV41" si="507">SUM(BV36:BV40)+BV3+BV4+BV9</f>
        <v>1363</v>
      </c>
      <c r="BW41" s="37">
        <f t="shared" si="505"/>
        <v>6356</v>
      </c>
      <c r="BX41" s="39">
        <f t="shared" si="505"/>
        <v>1.3270335579165586</v>
      </c>
      <c r="BY41" s="39">
        <f t="shared" si="505"/>
        <v>11.996383363565689</v>
      </c>
      <c r="BZ41" s="37">
        <f t="shared" ref="BZ41" si="508">SUM(BZ36:BZ40)+BZ3+BZ4+BZ9</f>
        <v>1445</v>
      </c>
      <c r="CA41" s="37">
        <f t="shared" si="505"/>
        <v>5666</v>
      </c>
      <c r="CB41" s="39">
        <f t="shared" si="505"/>
        <v>1.1727078973882044</v>
      </c>
      <c r="CC41" s="39">
        <f t="shared" si="505"/>
        <v>10.601279392389365</v>
      </c>
      <c r="CD41" s="37">
        <f t="shared" ref="CD41" si="509">SUM(CD36:CD40)+CD3+CD4+CD9</f>
        <v>1410</v>
      </c>
      <c r="CE41" s="37">
        <f t="shared" si="505"/>
        <v>5852</v>
      </c>
      <c r="CF41" s="39">
        <f t="shared" si="505"/>
        <v>1.4171959001630952</v>
      </c>
      <c r="CG41" s="39">
        <f t="shared" si="505"/>
        <v>12.811450937474374</v>
      </c>
      <c r="CH41" s="37">
        <f t="shared" ref="CH41" si="510">SUM(CH36:CH40)+CH3+CH4+CH9</f>
        <v>637</v>
      </c>
      <c r="CI41" s="37">
        <f t="shared" si="505"/>
        <v>2336</v>
      </c>
      <c r="CJ41" s="39">
        <f t="shared" si="505"/>
        <v>0.80909063158216066</v>
      </c>
      <c r="CK41" s="39">
        <f t="shared" si="505"/>
        <v>7.3141793095027312</v>
      </c>
      <c r="CL41" s="37">
        <f t="shared" ref="CL41" si="511">SUM(CL36:CL40)+CL3+CL4+CL9</f>
        <v>1272</v>
      </c>
      <c r="CM41" s="37">
        <f t="shared" si="505"/>
        <v>5155</v>
      </c>
      <c r="CN41" s="39">
        <f t="shared" si="505"/>
        <v>1.4282273282273283</v>
      </c>
      <c r="CO41" s="39">
        <f t="shared" si="505"/>
        <v>12.911175047175046</v>
      </c>
      <c r="CP41" s="37">
        <f t="shared" ref="CP41" si="512">SUM(CP36:CP40)+CP3+CP4+CP9</f>
        <v>1366</v>
      </c>
      <c r="CQ41" s="37">
        <f t="shared" si="505"/>
        <v>5435</v>
      </c>
      <c r="CR41" s="39">
        <f t="shared" si="505"/>
        <v>1.343764130112453</v>
      </c>
      <c r="CS41" s="39">
        <f t="shared" si="505"/>
        <v>12.147627736216574</v>
      </c>
      <c r="CT41" s="37">
        <f t="shared" ref="CT41" si="513">SUM(CT36:CT40)+CT3+CT4+CT9</f>
        <v>1408</v>
      </c>
      <c r="CU41" s="37">
        <f t="shared" si="505"/>
        <v>5218</v>
      </c>
      <c r="CV41" s="39">
        <f t="shared" si="505"/>
        <v>0.806360591806631</v>
      </c>
      <c r="CW41" s="39">
        <f t="shared" ref="CW41:EB41" si="514">SUM(CW36:CW40)+CW3+CW4+CW9</f>
        <v>7.2894997499319416</v>
      </c>
      <c r="CX41" s="37">
        <f t="shared" ref="CX41" si="515">SUM(CX36:CX40)+CX3+CX4+CX9</f>
        <v>1411</v>
      </c>
      <c r="CY41" s="37">
        <f t="shared" si="514"/>
        <v>4520</v>
      </c>
      <c r="CZ41" s="39">
        <f t="shared" si="514"/>
        <v>0.77885910344385301</v>
      </c>
      <c r="DA41" s="39">
        <f t="shared" si="514"/>
        <v>7.0408862951324309</v>
      </c>
      <c r="DB41" s="37">
        <f t="shared" ref="DB41" si="516">SUM(DB36:DB40)+DB3+DB4+DB9</f>
        <v>1327</v>
      </c>
      <c r="DC41" s="37">
        <f t="shared" si="514"/>
        <v>4528</v>
      </c>
      <c r="DD41" s="39">
        <f t="shared" si="514"/>
        <v>0.76732398774789279</v>
      </c>
      <c r="DE41" s="39">
        <f t="shared" si="514"/>
        <v>6.9366088492409492</v>
      </c>
      <c r="DF41" s="37">
        <f t="shared" ref="DF41" si="517">SUM(DF36:DF40)+DF3+DF4+DF9</f>
        <v>1449</v>
      </c>
      <c r="DG41" s="37">
        <f t="shared" si="514"/>
        <v>5198</v>
      </c>
      <c r="DH41" s="39">
        <f t="shared" si="514"/>
        <v>0.74526696686315619</v>
      </c>
      <c r="DI41" s="39">
        <f t="shared" si="514"/>
        <v>6.7372133804429311</v>
      </c>
      <c r="DJ41" s="37">
        <f t="shared" ref="DJ41" si="518">SUM(DJ36:DJ40)+DJ3+DJ4+DJ9</f>
        <v>1040</v>
      </c>
      <c r="DK41" s="37">
        <f t="shared" si="514"/>
        <v>4188</v>
      </c>
      <c r="DL41" s="39">
        <f t="shared" si="514"/>
        <v>0.7285595160096322</v>
      </c>
      <c r="DM41" s="39">
        <f t="shared" si="514"/>
        <v>6.586178024727074</v>
      </c>
      <c r="DN41" s="37">
        <f t="shared" ref="DN41" si="519">SUM(DN36:DN40)+DN3+DN4+DN9</f>
        <v>1478</v>
      </c>
      <c r="DO41" s="37">
        <f t="shared" si="514"/>
        <v>4970</v>
      </c>
      <c r="DP41" s="39">
        <f t="shared" si="514"/>
        <v>0.91112660253310085</v>
      </c>
      <c r="DQ41" s="39">
        <f t="shared" si="514"/>
        <v>8.2365844868992308</v>
      </c>
      <c r="DR41" s="37">
        <f t="shared" ref="DR41" si="520">SUM(DR36:DR40)+DR3+DR4+DR9</f>
        <v>597</v>
      </c>
      <c r="DS41" s="37">
        <f t="shared" si="514"/>
        <v>814</v>
      </c>
      <c r="DT41" s="39">
        <f t="shared" si="514"/>
        <v>2.2752682100508186</v>
      </c>
      <c r="DU41" s="39">
        <f t="shared" si="514"/>
        <v>20.5684246188594</v>
      </c>
      <c r="DV41" s="37">
        <f t="shared" ref="DV41" si="521">SUM(DV36:DV40)+DV3+DV4+DV9</f>
        <v>0</v>
      </c>
      <c r="DW41" s="37">
        <f t="shared" si="514"/>
        <v>0</v>
      </c>
      <c r="DX41" s="39">
        <f t="shared" si="514"/>
        <v>0</v>
      </c>
      <c r="DY41" s="39">
        <f t="shared" si="514"/>
        <v>0</v>
      </c>
      <c r="DZ41" s="37">
        <f t="shared" si="514"/>
        <v>35565</v>
      </c>
      <c r="EA41" s="37">
        <f t="shared" si="514"/>
        <v>133633</v>
      </c>
      <c r="EB41" s="39">
        <f t="shared" si="514"/>
        <v>1.6292583427535181</v>
      </c>
      <c r="EC41" s="39">
        <f t="shared" ref="EC41" si="522">SUM(EC36:EC40)+EC3+EC4+EC9</f>
        <v>14.7284954184918</v>
      </c>
      <c r="ED41" s="29"/>
      <c r="EE41" s="29"/>
      <c r="EF41" s="29"/>
      <c r="EG41" s="29"/>
      <c r="EH41" s="29"/>
      <c r="EI41" s="29"/>
      <c r="EJ41" s="29"/>
      <c r="EK41" s="29"/>
      <c r="EL41" s="29"/>
      <c r="EM41" s="29"/>
      <c r="EN41" s="29"/>
      <c r="EO41" s="29"/>
      <c r="EP41" s="29"/>
      <c r="EQ41" s="29"/>
      <c r="ER41" s="29"/>
      <c r="ES41" s="29"/>
      <c r="ET41" s="30"/>
      <c r="EU41" s="30"/>
      <c r="EV41" s="30"/>
      <c r="EW41" s="30"/>
      <c r="EX41" s="30"/>
      <c r="EY41" s="30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  <c r="HA41" s="31"/>
      <c r="HB41" s="31"/>
      <c r="HC41" s="31"/>
      <c r="HD41" s="31"/>
      <c r="HE41" s="31"/>
      <c r="HF41" s="31"/>
      <c r="HG41" s="31"/>
      <c r="HH41" s="31"/>
      <c r="HI41" s="31"/>
      <c r="HJ41" s="31"/>
      <c r="HK41" s="31"/>
      <c r="HL41" s="31"/>
      <c r="HM41" s="31"/>
      <c r="HN41" s="31"/>
      <c r="HO41" s="31"/>
      <c r="HP41" s="31"/>
      <c r="HQ41" s="31"/>
      <c r="HR41" s="31"/>
      <c r="HS41" s="31"/>
      <c r="HT41" s="31"/>
      <c r="HU41" s="31"/>
      <c r="HV41" s="31"/>
      <c r="HW41" s="31"/>
      <c r="HX41" s="31"/>
      <c r="HY41" s="31"/>
      <c r="HZ41" s="31"/>
      <c r="IA41" s="31"/>
      <c r="IB41" s="31"/>
      <c r="IC41" s="31"/>
      <c r="ID41" s="31"/>
      <c r="IE41" s="31"/>
      <c r="IF41" s="31"/>
      <c r="IG41" s="31"/>
      <c r="IH41" s="31"/>
      <c r="II41" s="31"/>
      <c r="IJ41" s="31"/>
      <c r="IK41" s="31"/>
      <c r="IL41" s="31"/>
      <c r="IM41" s="31"/>
      <c r="IN41" s="31"/>
      <c r="IO41" s="31"/>
      <c r="IP41" s="31"/>
      <c r="IQ41" s="31"/>
      <c r="IR41" s="31"/>
      <c r="IS41" s="31"/>
      <c r="IT41" s="31"/>
      <c r="IU41" s="31"/>
      <c r="IV41" s="31"/>
      <c r="IW41" s="31"/>
      <c r="IX41" s="31"/>
      <c r="IY41" s="31"/>
      <c r="IZ41" s="31"/>
      <c r="JA41" s="31"/>
      <c r="JB41" s="31"/>
      <c r="JC41" s="31"/>
      <c r="JD41" s="31"/>
      <c r="JE41" s="31"/>
      <c r="JF41" s="31"/>
      <c r="JG41" s="31"/>
      <c r="JH41" s="31"/>
      <c r="JI41" s="31"/>
      <c r="JJ41" s="31"/>
      <c r="JK41" s="31"/>
      <c r="JL41" s="31"/>
      <c r="JM41" s="31"/>
    </row>
    <row r="42" spans="1:273" s="43" customFormat="1" ht="54" x14ac:dyDescent="0.35">
      <c r="A42" s="24"/>
      <c r="B42" s="24"/>
      <c r="C42" s="24">
        <v>28</v>
      </c>
      <c r="D42" s="25" t="s">
        <v>292</v>
      </c>
      <c r="E42" s="34" t="s">
        <v>282</v>
      </c>
      <c r="F42" s="8">
        <v>9</v>
      </c>
      <c r="G42" s="26">
        <f>'Production data'!B15</f>
        <v>0</v>
      </c>
      <c r="H42" s="27">
        <f t="shared" ref="H42" si="523">IF((G42=0),0,F42/G42)</f>
        <v>0</v>
      </c>
      <c r="I42" s="27">
        <f t="shared" ref="I42" si="524">H42*9.04</f>
        <v>0</v>
      </c>
      <c r="J42" s="8">
        <v>16</v>
      </c>
      <c r="K42" s="26">
        <f>'Production data'!C15</f>
        <v>0</v>
      </c>
      <c r="L42" s="27">
        <f t="shared" ref="L42" si="525">IF((K42=0),0,J42/K42)</f>
        <v>0</v>
      </c>
      <c r="M42" s="27">
        <f t="shared" ref="M42" si="526">L42*9.04</f>
        <v>0</v>
      </c>
      <c r="N42" s="8">
        <v>72</v>
      </c>
      <c r="O42" s="26">
        <f>'Production data'!D15</f>
        <v>597</v>
      </c>
      <c r="P42" s="27">
        <f t="shared" ref="P42" si="527">IF((O42=0),0,N42/O42)</f>
        <v>0.12060301507537688</v>
      </c>
      <c r="Q42" s="27">
        <f t="shared" ref="Q42" si="528">P42*9.04</f>
        <v>1.0902512562814068</v>
      </c>
      <c r="R42" s="8">
        <v>80</v>
      </c>
      <c r="S42" s="26">
        <f>'Production data'!E15</f>
        <v>628</v>
      </c>
      <c r="T42" s="27">
        <f t="shared" ref="T42" si="529">IF((S42=0),0,R42/S42)</f>
        <v>0.12738853503184713</v>
      </c>
      <c r="U42" s="27">
        <f t="shared" ref="U42" si="530">T42*9.04</f>
        <v>1.1515923566878981</v>
      </c>
      <c r="V42" s="8">
        <v>77</v>
      </c>
      <c r="W42" s="26">
        <f>'Production data'!F15</f>
        <v>913</v>
      </c>
      <c r="X42" s="27">
        <f t="shared" ref="X42" si="531">IF((W42=0),0,V42/W42)</f>
        <v>8.4337349397590355E-2</v>
      </c>
      <c r="Y42" s="27">
        <f t="shared" ref="Y42" si="532">X42*9.04</f>
        <v>0.76240963855421673</v>
      </c>
      <c r="Z42" s="8">
        <v>2</v>
      </c>
      <c r="AA42" s="26">
        <f>'Production data'!G15</f>
        <v>0</v>
      </c>
      <c r="AB42" s="27">
        <f t="shared" ref="AB42" si="533">IF((AA42=0),0,Z42/AA42)</f>
        <v>0</v>
      </c>
      <c r="AC42" s="27">
        <f t="shared" ref="AC42" si="534">AB42*9.04</f>
        <v>0</v>
      </c>
      <c r="AD42" s="8">
        <v>52</v>
      </c>
      <c r="AE42" s="26">
        <f>'Production data'!H15</f>
        <v>523</v>
      </c>
      <c r="AF42" s="27">
        <f t="shared" ref="AF42" si="535">IF((AE42=0),0,AD42/AE42)</f>
        <v>9.9426386233269604E-2</v>
      </c>
      <c r="AG42" s="27">
        <f t="shared" ref="AG42" si="536">AF42*9.04</f>
        <v>0.89881453154875712</v>
      </c>
      <c r="AH42" s="8">
        <v>17</v>
      </c>
      <c r="AI42" s="26">
        <f>'Production data'!I15</f>
        <v>0</v>
      </c>
      <c r="AJ42" s="27">
        <f t="shared" ref="AJ42" si="537">IF((AI42=0),0,AH42/AI42)</f>
        <v>0</v>
      </c>
      <c r="AK42" s="27">
        <f t="shared" ref="AK42" si="538">AJ42*9.04</f>
        <v>0</v>
      </c>
      <c r="AL42" s="8">
        <v>75</v>
      </c>
      <c r="AM42" s="26">
        <f>'Production data'!J15</f>
        <v>1004</v>
      </c>
      <c r="AN42" s="27">
        <f t="shared" ref="AN42" si="539">IF((AM42=0),0,AL42/AM42)</f>
        <v>7.4701195219123509E-2</v>
      </c>
      <c r="AO42" s="27">
        <f t="shared" ref="AO42" si="540">AN42*9.04</f>
        <v>0.67529880478087645</v>
      </c>
      <c r="AP42" s="8">
        <v>82</v>
      </c>
      <c r="AQ42" s="26">
        <f>'Production data'!K15</f>
        <v>1157</v>
      </c>
      <c r="AR42" s="27">
        <f t="shared" ref="AR42" si="541">IF((AQ42=0),0,AP42/AQ42)</f>
        <v>7.0872947277441659E-2</v>
      </c>
      <c r="AS42" s="27">
        <f t="shared" ref="AS42" si="542">AR42*9.04</f>
        <v>0.64069144338807249</v>
      </c>
      <c r="AT42" s="8">
        <v>76</v>
      </c>
      <c r="AU42" s="26">
        <f>'Production data'!L15</f>
        <v>0</v>
      </c>
      <c r="AV42" s="27">
        <f t="shared" ref="AV42" si="543">IF((AU42=0),0,AT42/AU42)</f>
        <v>0</v>
      </c>
      <c r="AW42" s="27">
        <f t="shared" ref="AW42" si="544">AV42*9.04</f>
        <v>0</v>
      </c>
      <c r="AX42" s="8">
        <v>74</v>
      </c>
      <c r="AY42" s="26">
        <f>'Production data'!M15</f>
        <v>1046</v>
      </c>
      <c r="AZ42" s="27">
        <f t="shared" ref="AZ42" si="545">IF((AY42=0),0,AX42/AY42)</f>
        <v>7.0745697896749518E-2</v>
      </c>
      <c r="BA42" s="27">
        <f t="shared" ref="BA42" si="546">AZ42*9.04</f>
        <v>0.63954110898661554</v>
      </c>
      <c r="BB42" s="8">
        <v>69</v>
      </c>
      <c r="BC42" s="26">
        <f>'Production data'!N15</f>
        <v>0</v>
      </c>
      <c r="BD42" s="27">
        <f t="shared" ref="BD42" si="547">IF((BC42=0),0,BB42/BC42)</f>
        <v>0</v>
      </c>
      <c r="BE42" s="27">
        <f t="shared" ref="BE42" si="548">BD42*9.04</f>
        <v>0</v>
      </c>
      <c r="BF42" s="8">
        <v>7</v>
      </c>
      <c r="BG42" s="26">
        <f>'Production data'!O15</f>
        <v>744</v>
      </c>
      <c r="BH42" s="27">
        <f t="shared" ref="BH42" si="549">IF((BG42=0),0,BF42/BG42)</f>
        <v>9.4086021505376347E-3</v>
      </c>
      <c r="BI42" s="27">
        <f t="shared" ref="BI42" si="550">BH42*9.04</f>
        <v>8.5053763440860214E-2</v>
      </c>
      <c r="BJ42" s="8">
        <v>72</v>
      </c>
      <c r="BK42" s="26">
        <f>'Production data'!P15</f>
        <v>1089</v>
      </c>
      <c r="BL42" s="27">
        <f t="shared" ref="BL42" si="551">IF((BK42=0),0,BJ42/BK42)</f>
        <v>6.6115702479338845E-2</v>
      </c>
      <c r="BM42" s="27">
        <f t="shared" ref="BM42" si="552">BL42*9.04</f>
        <v>0.59768595041322314</v>
      </c>
      <c r="BN42" s="8">
        <v>70</v>
      </c>
      <c r="BO42" s="26">
        <f>'Production data'!Q15</f>
        <v>1083</v>
      </c>
      <c r="BP42" s="27">
        <f t="shared" ref="BP42" si="553">IF((BO42=0),0,BN42/BO42)</f>
        <v>6.4635272391505072E-2</v>
      </c>
      <c r="BQ42" s="27">
        <f t="shared" ref="BQ42" si="554">BP42*9.04</f>
        <v>0.58430286241920582</v>
      </c>
      <c r="BR42" s="8">
        <v>68</v>
      </c>
      <c r="BS42" s="26">
        <f>'Production data'!R15</f>
        <v>960</v>
      </c>
      <c r="BT42" s="27">
        <f t="shared" ref="BT42" si="555">IF((BS42=0),0,BR42/BS42)</f>
        <v>7.0833333333333331E-2</v>
      </c>
      <c r="BU42" s="27">
        <f t="shared" ref="BU42" si="556">BT42*9.04</f>
        <v>0.64033333333333331</v>
      </c>
      <c r="BV42" s="8">
        <v>73</v>
      </c>
      <c r="BW42" s="26">
        <f>'Production data'!S15</f>
        <v>958</v>
      </c>
      <c r="BX42" s="27">
        <f t="shared" ref="BX42" si="557">IF((BW42=0),0,BV42/BW42)</f>
        <v>7.6200417536534448E-2</v>
      </c>
      <c r="BY42" s="27">
        <f t="shared" ref="BY42" si="558">BX42*9.04</f>
        <v>0.68885177453027135</v>
      </c>
      <c r="BZ42" s="8">
        <v>64</v>
      </c>
      <c r="CA42" s="26">
        <f>'Production data'!T15</f>
        <v>345</v>
      </c>
      <c r="CB42" s="27">
        <f t="shared" ref="CB42" si="559">IF((CA42=0),0,BZ42/CA42)</f>
        <v>0.1855072463768116</v>
      </c>
      <c r="CC42" s="27">
        <f t="shared" ref="CC42" si="560">CB42*9.04</f>
        <v>1.6769855072463766</v>
      </c>
      <c r="CD42" s="8">
        <v>71</v>
      </c>
      <c r="CE42" s="26">
        <f>'Production data'!U15</f>
        <v>801</v>
      </c>
      <c r="CF42" s="27">
        <f t="shared" ref="CF42" si="561">IF((CE42=0),0,CD42/CE42)</f>
        <v>8.8639200998751555E-2</v>
      </c>
      <c r="CG42" s="27">
        <f t="shared" ref="CG42" si="562">CF42*9.04</f>
        <v>0.80129837702871398</v>
      </c>
      <c r="CH42" s="8">
        <v>4</v>
      </c>
      <c r="CI42" s="26">
        <f>'Production data'!V15</f>
        <v>0</v>
      </c>
      <c r="CJ42" s="27">
        <f t="shared" ref="CJ42" si="563">IF((CI42=0),0,CH42/CI42)</f>
        <v>0</v>
      </c>
      <c r="CK42" s="27">
        <f t="shared" ref="CK42" si="564">CJ42*9.04</f>
        <v>0</v>
      </c>
      <c r="CL42" s="8">
        <v>65</v>
      </c>
      <c r="CM42" s="26">
        <f>'Production data'!W15</f>
        <v>1235</v>
      </c>
      <c r="CN42" s="27">
        <f t="shared" ref="CN42" si="565">IF((CM42=0),0,CL42/CM42)</f>
        <v>5.2631578947368418E-2</v>
      </c>
      <c r="CO42" s="27">
        <f t="shared" ref="CO42" si="566">CN42*9.04</f>
        <v>0.47578947368421043</v>
      </c>
      <c r="CP42" s="8">
        <v>64</v>
      </c>
      <c r="CQ42" s="26">
        <f>'Production data'!X15</f>
        <v>1167</v>
      </c>
      <c r="CR42" s="27">
        <f t="shared" ref="CR42" si="567">IF((CQ42=0),0,CP42/CQ42)</f>
        <v>5.4841473864610114E-2</v>
      </c>
      <c r="CS42" s="27">
        <f t="shared" ref="CS42" si="568">CR42*9.04</f>
        <v>0.49576692373607539</v>
      </c>
      <c r="CT42" s="8">
        <v>59</v>
      </c>
      <c r="CU42" s="26">
        <f>'Production data'!Y15</f>
        <v>925</v>
      </c>
      <c r="CV42" s="27">
        <f t="shared" ref="CV42" si="569">IF((CU42=0),0,CT42/CU42)</f>
        <v>6.3783783783783785E-2</v>
      </c>
      <c r="CW42" s="27">
        <f t="shared" ref="CW42" si="570">CV42*9.04</f>
        <v>0.57660540540540539</v>
      </c>
      <c r="CX42" s="8">
        <v>34</v>
      </c>
      <c r="CY42" s="26">
        <f>'Production data'!Z15</f>
        <v>400</v>
      </c>
      <c r="CZ42" s="27">
        <f t="shared" ref="CZ42" si="571">IF((CY42=0),0,CX42/CY42)</f>
        <v>8.5000000000000006E-2</v>
      </c>
      <c r="DA42" s="27">
        <f t="shared" ref="DA42" si="572">CZ42*9.04</f>
        <v>0.76839999999999997</v>
      </c>
      <c r="DB42" s="8">
        <v>32</v>
      </c>
      <c r="DC42" s="26">
        <f>'Production data'!AA15</f>
        <v>517</v>
      </c>
      <c r="DD42" s="27">
        <f t="shared" ref="DD42" si="573">IF((DC42=0),0,DB42/DC42)</f>
        <v>6.1895551257253385E-2</v>
      </c>
      <c r="DE42" s="27">
        <f t="shared" ref="DE42" si="574">DD42*9.04</f>
        <v>0.55953578336557053</v>
      </c>
      <c r="DF42" s="8">
        <v>68</v>
      </c>
      <c r="DG42" s="26">
        <f>'Production data'!AB15</f>
        <v>1125</v>
      </c>
      <c r="DH42" s="27">
        <f t="shared" ref="DH42" si="575">IF((DG42=0),0,DF42/DG42)</f>
        <v>6.0444444444444446E-2</v>
      </c>
      <c r="DI42" s="27">
        <f t="shared" ref="DI42" si="576">DH42*9.04</f>
        <v>0.54641777777777778</v>
      </c>
      <c r="DJ42" s="8">
        <v>62</v>
      </c>
      <c r="DK42" s="26">
        <f>'Production data'!AC15</f>
        <v>1063</v>
      </c>
      <c r="DL42" s="27">
        <f t="shared" ref="DL42" si="577">IF((DK42=0),0,DJ42/DK42)</f>
        <v>5.8325493885230478E-2</v>
      </c>
      <c r="DM42" s="27">
        <f t="shared" ref="DM42" si="578">DL42*9.04</f>
        <v>0.5272624647224835</v>
      </c>
      <c r="DN42" s="8">
        <v>75</v>
      </c>
      <c r="DO42" s="26">
        <f>'Production data'!AD15</f>
        <v>764</v>
      </c>
      <c r="DP42" s="27">
        <f t="shared" ref="DP42" si="579">IF((DO42=0),0,DN42/DO42)</f>
        <v>9.8167539267015713E-2</v>
      </c>
      <c r="DQ42" s="27">
        <f t="shared" ref="DQ42" si="580">DP42*9.04</f>
        <v>0.88743455497382195</v>
      </c>
      <c r="DR42" s="8">
        <v>62</v>
      </c>
      <c r="DS42" s="26">
        <f>'Production data'!AE15</f>
        <v>684</v>
      </c>
      <c r="DT42" s="27">
        <f t="shared" ref="DT42" si="581">IF((DS42=0),0,DR42/DS42)</f>
        <v>9.0643274853801165E-2</v>
      </c>
      <c r="DU42" s="27">
        <f t="shared" ref="DU42" si="582">DT42*9.04</f>
        <v>0.81941520467836249</v>
      </c>
      <c r="DV42" s="8"/>
      <c r="DW42" s="26">
        <f>'Production data'!AF15</f>
        <v>0</v>
      </c>
      <c r="DX42" s="27">
        <f t="shared" ref="DX42" si="583">IF((DW42=0),0,DV42/DW42)</f>
        <v>0</v>
      </c>
      <c r="DY42" s="27">
        <f t="shared" ref="DY42" si="584">DX42*9.04</f>
        <v>0</v>
      </c>
      <c r="DZ42" s="28">
        <f>F42+J42+N42+R42+V42+Z42+AD42+AH42+AL42+AP42+AT42+AX42+BB42+BF42+BJ42+BN42+BR42+BV42+BZ42+CD42+CH42+CL42+CP42+CT42+CX42+DB42+DF42+DJ42+DN42+DR42+DV42</f>
        <v>1651</v>
      </c>
      <c r="EA42" s="28">
        <f>G42+K42+O42+S42+W42+AA42+AI42+AM42+AQ42+AU42+AY42+BC42+BG42+BK42+BO42+BS42+BW42+CA42+CE42+CI42+CM42+CQ42+CU42+CY42+DC42+DG42+DK42+DO42+DS42+DW42</f>
        <v>19205</v>
      </c>
      <c r="EB42" s="33">
        <f>IF((EA42=0),0,DZ42/EA42)</f>
        <v>8.5967196042697216E-2</v>
      </c>
      <c r="EC42" s="33">
        <f t="shared" ref="EC42" si="585">EB42*9.04</f>
        <v>0.7771434522259828</v>
      </c>
      <c r="ED42" s="42"/>
      <c r="EE42" s="42"/>
      <c r="EF42" s="42"/>
      <c r="EG42" s="42"/>
      <c r="EH42" s="42"/>
      <c r="EI42" s="42"/>
      <c r="EJ42" s="42"/>
      <c r="EK42" s="42"/>
      <c r="EL42" s="42"/>
      <c r="EM42" s="42"/>
      <c r="EN42" s="42"/>
      <c r="EO42" s="42"/>
      <c r="EP42" s="42"/>
      <c r="EQ42" s="42"/>
      <c r="ER42" s="42"/>
      <c r="ES42" s="42"/>
      <c r="ET42" s="42"/>
      <c r="EU42" s="42"/>
      <c r="EV42" s="42"/>
      <c r="EW42" s="42"/>
      <c r="EX42" s="42"/>
      <c r="EY42" s="42"/>
      <c r="EZ42" s="42"/>
      <c r="FA42" s="42"/>
      <c r="FB42" s="42"/>
      <c r="FC42" s="42"/>
      <c r="FD42" s="42"/>
      <c r="FE42" s="42"/>
      <c r="FF42" s="42"/>
      <c r="FG42" s="42"/>
      <c r="FH42" s="42"/>
      <c r="FI42" s="42"/>
      <c r="FJ42" s="42"/>
      <c r="FK42" s="42"/>
      <c r="FL42" s="42"/>
      <c r="FM42" s="42"/>
      <c r="FN42" s="42"/>
      <c r="FO42" s="42"/>
      <c r="FP42" s="42"/>
      <c r="FQ42" s="42"/>
      <c r="FR42" s="42"/>
      <c r="FS42" s="42"/>
      <c r="FT42" s="42"/>
      <c r="FU42" s="42"/>
      <c r="FV42" s="42"/>
      <c r="FW42" s="42"/>
      <c r="FX42" s="42"/>
      <c r="FY42" s="42"/>
      <c r="FZ42" s="42"/>
      <c r="GA42" s="42"/>
      <c r="GB42" s="42"/>
      <c r="GC42" s="42"/>
      <c r="GD42" s="42"/>
      <c r="GE42" s="42"/>
      <c r="GF42" s="42"/>
      <c r="GG42" s="42"/>
      <c r="GH42" s="42"/>
      <c r="GI42" s="42"/>
      <c r="GJ42" s="42"/>
      <c r="GK42" s="42"/>
      <c r="GL42" s="42"/>
      <c r="GM42" s="42"/>
      <c r="GN42" s="42"/>
      <c r="GO42" s="42"/>
      <c r="GP42" s="42"/>
      <c r="GQ42" s="42"/>
      <c r="GR42" s="42"/>
      <c r="GS42" s="42"/>
      <c r="GT42" s="42"/>
      <c r="GU42" s="42"/>
      <c r="GV42" s="42"/>
      <c r="GW42" s="42"/>
      <c r="GX42" s="42"/>
      <c r="GY42" s="42"/>
      <c r="GZ42" s="42"/>
      <c r="HA42" s="42"/>
      <c r="HB42" s="42"/>
      <c r="HC42" s="42"/>
      <c r="HD42" s="42"/>
      <c r="HE42" s="42"/>
      <c r="HF42" s="42"/>
      <c r="HG42" s="42"/>
      <c r="HH42" s="42"/>
      <c r="HI42" s="42"/>
      <c r="HJ42" s="42"/>
      <c r="HK42" s="42"/>
      <c r="HL42" s="42"/>
      <c r="HM42" s="42"/>
      <c r="HN42" s="42"/>
      <c r="HO42" s="42"/>
      <c r="HP42" s="42"/>
      <c r="HQ42" s="42"/>
      <c r="HR42" s="42"/>
      <c r="HS42" s="42"/>
      <c r="HT42" s="42"/>
      <c r="HU42" s="42"/>
      <c r="HV42" s="42"/>
      <c r="HW42" s="42"/>
      <c r="HX42" s="42"/>
      <c r="HY42" s="42"/>
      <c r="HZ42" s="42"/>
      <c r="IA42" s="42"/>
      <c r="IB42" s="42"/>
      <c r="IC42" s="42"/>
      <c r="ID42" s="42"/>
      <c r="IE42" s="42"/>
      <c r="IF42" s="42"/>
      <c r="IG42" s="42"/>
      <c r="IH42" s="42"/>
      <c r="II42" s="42"/>
      <c r="IJ42" s="42"/>
      <c r="IK42" s="42"/>
      <c r="IL42" s="42"/>
      <c r="IM42" s="42"/>
      <c r="IN42" s="42"/>
      <c r="IO42" s="42"/>
      <c r="IP42" s="42"/>
      <c r="IQ42" s="42"/>
      <c r="IR42" s="42"/>
      <c r="IS42" s="42"/>
      <c r="IT42" s="42"/>
      <c r="IU42" s="42"/>
      <c r="IV42" s="42"/>
      <c r="IW42" s="42"/>
      <c r="IX42" s="42"/>
      <c r="IY42" s="42"/>
      <c r="IZ42" s="42"/>
      <c r="JA42" s="42"/>
      <c r="JB42" s="42"/>
      <c r="JC42" s="42"/>
      <c r="JD42" s="42"/>
      <c r="JE42" s="42"/>
      <c r="JF42" s="42"/>
      <c r="JG42" s="42"/>
      <c r="JH42" s="42"/>
      <c r="JI42" s="42"/>
      <c r="JJ42" s="42"/>
      <c r="JK42" s="42"/>
      <c r="JL42" s="42"/>
      <c r="JM42" s="42"/>
    </row>
    <row r="43" spans="1:273" s="32" customFormat="1" ht="25.5" x14ac:dyDescent="0.35">
      <c r="A43" s="24"/>
      <c r="B43" s="24"/>
      <c r="C43" s="24"/>
      <c r="D43" s="35" t="s">
        <v>334</v>
      </c>
      <c r="E43" s="36"/>
      <c r="F43" s="37">
        <f>SUM(F42)</f>
        <v>9</v>
      </c>
      <c r="G43" s="37">
        <f>SUM(G42)</f>
        <v>0</v>
      </c>
      <c r="H43" s="39">
        <f t="shared" ref="H43:BS43" si="586">SUM(H42)</f>
        <v>0</v>
      </c>
      <c r="I43" s="39">
        <f t="shared" si="586"/>
        <v>0</v>
      </c>
      <c r="J43" s="37">
        <f t="shared" si="586"/>
        <v>16</v>
      </c>
      <c r="K43" s="37">
        <f t="shared" si="586"/>
        <v>0</v>
      </c>
      <c r="L43" s="39">
        <f t="shared" si="586"/>
        <v>0</v>
      </c>
      <c r="M43" s="39">
        <f t="shared" si="586"/>
        <v>0</v>
      </c>
      <c r="N43" s="37">
        <f t="shared" si="586"/>
        <v>72</v>
      </c>
      <c r="O43" s="37">
        <f t="shared" si="586"/>
        <v>597</v>
      </c>
      <c r="P43" s="39">
        <f t="shared" si="586"/>
        <v>0.12060301507537688</v>
      </c>
      <c r="Q43" s="39">
        <f t="shared" si="586"/>
        <v>1.0902512562814068</v>
      </c>
      <c r="R43" s="37">
        <f t="shared" si="586"/>
        <v>80</v>
      </c>
      <c r="S43" s="37">
        <f t="shared" si="586"/>
        <v>628</v>
      </c>
      <c r="T43" s="39">
        <f t="shared" si="586"/>
        <v>0.12738853503184713</v>
      </c>
      <c r="U43" s="39">
        <f t="shared" si="586"/>
        <v>1.1515923566878981</v>
      </c>
      <c r="V43" s="37">
        <f t="shared" si="586"/>
        <v>77</v>
      </c>
      <c r="W43" s="37">
        <f t="shared" si="586"/>
        <v>913</v>
      </c>
      <c r="X43" s="39">
        <f t="shared" si="586"/>
        <v>8.4337349397590355E-2</v>
      </c>
      <c r="Y43" s="39">
        <f t="shared" si="586"/>
        <v>0.76240963855421673</v>
      </c>
      <c r="Z43" s="37">
        <f t="shared" si="586"/>
        <v>2</v>
      </c>
      <c r="AA43" s="37">
        <f t="shared" si="586"/>
        <v>0</v>
      </c>
      <c r="AB43" s="39">
        <f t="shared" si="586"/>
        <v>0</v>
      </c>
      <c r="AC43" s="39">
        <f t="shared" si="586"/>
        <v>0</v>
      </c>
      <c r="AD43" s="37">
        <f t="shared" si="586"/>
        <v>52</v>
      </c>
      <c r="AE43" s="37">
        <f t="shared" si="586"/>
        <v>523</v>
      </c>
      <c r="AF43" s="39">
        <f t="shared" si="586"/>
        <v>9.9426386233269604E-2</v>
      </c>
      <c r="AG43" s="39">
        <f t="shared" si="586"/>
        <v>0.89881453154875712</v>
      </c>
      <c r="AH43" s="37">
        <f t="shared" si="586"/>
        <v>17</v>
      </c>
      <c r="AI43" s="37">
        <f t="shared" si="586"/>
        <v>0</v>
      </c>
      <c r="AJ43" s="39">
        <f t="shared" si="586"/>
        <v>0</v>
      </c>
      <c r="AK43" s="39">
        <f t="shared" si="586"/>
        <v>0</v>
      </c>
      <c r="AL43" s="37">
        <f t="shared" si="586"/>
        <v>75</v>
      </c>
      <c r="AM43" s="37">
        <f t="shared" si="586"/>
        <v>1004</v>
      </c>
      <c r="AN43" s="39">
        <f t="shared" si="586"/>
        <v>7.4701195219123509E-2</v>
      </c>
      <c r="AO43" s="39">
        <f t="shared" si="586"/>
        <v>0.67529880478087645</v>
      </c>
      <c r="AP43" s="37">
        <f t="shared" si="586"/>
        <v>82</v>
      </c>
      <c r="AQ43" s="37">
        <f t="shared" si="586"/>
        <v>1157</v>
      </c>
      <c r="AR43" s="39">
        <f t="shared" si="586"/>
        <v>7.0872947277441659E-2</v>
      </c>
      <c r="AS43" s="39">
        <f t="shared" si="586"/>
        <v>0.64069144338807249</v>
      </c>
      <c r="AT43" s="37">
        <f t="shared" si="586"/>
        <v>76</v>
      </c>
      <c r="AU43" s="37">
        <f t="shared" si="586"/>
        <v>0</v>
      </c>
      <c r="AV43" s="39">
        <f t="shared" si="586"/>
        <v>0</v>
      </c>
      <c r="AW43" s="39">
        <f t="shared" si="586"/>
        <v>0</v>
      </c>
      <c r="AX43" s="37">
        <f t="shared" si="586"/>
        <v>74</v>
      </c>
      <c r="AY43" s="37">
        <f t="shared" si="586"/>
        <v>1046</v>
      </c>
      <c r="AZ43" s="39">
        <f t="shared" si="586"/>
        <v>7.0745697896749518E-2</v>
      </c>
      <c r="BA43" s="39">
        <f t="shared" si="586"/>
        <v>0.63954110898661554</v>
      </c>
      <c r="BB43" s="37">
        <f t="shared" si="586"/>
        <v>69</v>
      </c>
      <c r="BC43" s="37">
        <f t="shared" si="586"/>
        <v>0</v>
      </c>
      <c r="BD43" s="39">
        <f t="shared" si="586"/>
        <v>0</v>
      </c>
      <c r="BE43" s="39">
        <f t="shared" si="586"/>
        <v>0</v>
      </c>
      <c r="BF43" s="37">
        <f t="shared" si="586"/>
        <v>7</v>
      </c>
      <c r="BG43" s="37">
        <f t="shared" si="586"/>
        <v>744</v>
      </c>
      <c r="BH43" s="39">
        <f t="shared" si="586"/>
        <v>9.4086021505376347E-3</v>
      </c>
      <c r="BI43" s="39">
        <f t="shared" si="586"/>
        <v>8.5053763440860214E-2</v>
      </c>
      <c r="BJ43" s="37">
        <f t="shared" si="586"/>
        <v>72</v>
      </c>
      <c r="BK43" s="37">
        <f t="shared" si="586"/>
        <v>1089</v>
      </c>
      <c r="BL43" s="39">
        <f t="shared" si="586"/>
        <v>6.6115702479338845E-2</v>
      </c>
      <c r="BM43" s="39">
        <f t="shared" si="586"/>
        <v>0.59768595041322314</v>
      </c>
      <c r="BN43" s="37">
        <f t="shared" si="586"/>
        <v>70</v>
      </c>
      <c r="BO43" s="37">
        <f t="shared" si="586"/>
        <v>1083</v>
      </c>
      <c r="BP43" s="39">
        <f t="shared" si="586"/>
        <v>6.4635272391505072E-2</v>
      </c>
      <c r="BQ43" s="39">
        <f t="shared" si="586"/>
        <v>0.58430286241920582</v>
      </c>
      <c r="BR43" s="37">
        <f t="shared" si="586"/>
        <v>68</v>
      </c>
      <c r="BS43" s="37">
        <f t="shared" si="586"/>
        <v>960</v>
      </c>
      <c r="BT43" s="39">
        <f t="shared" ref="BT43:EC43" si="587">SUM(BT42)</f>
        <v>7.0833333333333331E-2</v>
      </c>
      <c r="BU43" s="39">
        <f t="shared" si="587"/>
        <v>0.64033333333333331</v>
      </c>
      <c r="BV43" s="37">
        <f t="shared" si="587"/>
        <v>73</v>
      </c>
      <c r="BW43" s="37">
        <f t="shared" si="587"/>
        <v>958</v>
      </c>
      <c r="BX43" s="39">
        <f t="shared" si="587"/>
        <v>7.6200417536534448E-2</v>
      </c>
      <c r="BY43" s="39">
        <f t="shared" si="587"/>
        <v>0.68885177453027135</v>
      </c>
      <c r="BZ43" s="37">
        <f t="shared" si="587"/>
        <v>64</v>
      </c>
      <c r="CA43" s="37">
        <f t="shared" si="587"/>
        <v>345</v>
      </c>
      <c r="CB43" s="39">
        <f t="shared" si="587"/>
        <v>0.1855072463768116</v>
      </c>
      <c r="CC43" s="39">
        <f t="shared" si="587"/>
        <v>1.6769855072463766</v>
      </c>
      <c r="CD43" s="37">
        <f t="shared" si="587"/>
        <v>71</v>
      </c>
      <c r="CE43" s="37">
        <f t="shared" si="587"/>
        <v>801</v>
      </c>
      <c r="CF43" s="39">
        <f t="shared" si="587"/>
        <v>8.8639200998751555E-2</v>
      </c>
      <c r="CG43" s="39">
        <f t="shared" si="587"/>
        <v>0.80129837702871398</v>
      </c>
      <c r="CH43" s="37">
        <f t="shared" si="587"/>
        <v>4</v>
      </c>
      <c r="CI43" s="37">
        <f t="shared" si="587"/>
        <v>0</v>
      </c>
      <c r="CJ43" s="39">
        <f t="shared" si="587"/>
        <v>0</v>
      </c>
      <c r="CK43" s="39">
        <f t="shared" si="587"/>
        <v>0</v>
      </c>
      <c r="CL43" s="37">
        <f t="shared" si="587"/>
        <v>65</v>
      </c>
      <c r="CM43" s="37">
        <f t="shared" si="587"/>
        <v>1235</v>
      </c>
      <c r="CN43" s="39">
        <f t="shared" si="587"/>
        <v>5.2631578947368418E-2</v>
      </c>
      <c r="CO43" s="39">
        <f t="shared" si="587"/>
        <v>0.47578947368421043</v>
      </c>
      <c r="CP43" s="37">
        <f t="shared" si="587"/>
        <v>64</v>
      </c>
      <c r="CQ43" s="37">
        <f t="shared" si="587"/>
        <v>1167</v>
      </c>
      <c r="CR43" s="39">
        <f t="shared" si="587"/>
        <v>5.4841473864610114E-2</v>
      </c>
      <c r="CS43" s="39">
        <f t="shared" si="587"/>
        <v>0.49576692373607539</v>
      </c>
      <c r="CT43" s="37">
        <f t="shared" si="587"/>
        <v>59</v>
      </c>
      <c r="CU43" s="37">
        <f t="shared" si="587"/>
        <v>925</v>
      </c>
      <c r="CV43" s="39">
        <f t="shared" si="587"/>
        <v>6.3783783783783785E-2</v>
      </c>
      <c r="CW43" s="39">
        <f t="shared" si="587"/>
        <v>0.57660540540540539</v>
      </c>
      <c r="CX43" s="37">
        <f t="shared" si="587"/>
        <v>34</v>
      </c>
      <c r="CY43" s="37">
        <f t="shared" si="587"/>
        <v>400</v>
      </c>
      <c r="CZ43" s="39">
        <f t="shared" si="587"/>
        <v>8.5000000000000006E-2</v>
      </c>
      <c r="DA43" s="39">
        <f t="shared" si="587"/>
        <v>0.76839999999999997</v>
      </c>
      <c r="DB43" s="37">
        <f t="shared" si="587"/>
        <v>32</v>
      </c>
      <c r="DC43" s="37">
        <f t="shared" si="587"/>
        <v>517</v>
      </c>
      <c r="DD43" s="39">
        <f t="shared" si="587"/>
        <v>6.1895551257253385E-2</v>
      </c>
      <c r="DE43" s="39">
        <f t="shared" si="587"/>
        <v>0.55953578336557053</v>
      </c>
      <c r="DF43" s="37">
        <f t="shared" si="587"/>
        <v>68</v>
      </c>
      <c r="DG43" s="37">
        <f t="shared" si="587"/>
        <v>1125</v>
      </c>
      <c r="DH43" s="39">
        <f t="shared" si="587"/>
        <v>6.0444444444444446E-2</v>
      </c>
      <c r="DI43" s="39">
        <f t="shared" si="587"/>
        <v>0.54641777777777778</v>
      </c>
      <c r="DJ43" s="37">
        <f t="shared" si="587"/>
        <v>62</v>
      </c>
      <c r="DK43" s="37">
        <f t="shared" si="587"/>
        <v>1063</v>
      </c>
      <c r="DL43" s="39">
        <f t="shared" si="587"/>
        <v>5.8325493885230478E-2</v>
      </c>
      <c r="DM43" s="39">
        <f t="shared" si="587"/>
        <v>0.5272624647224835</v>
      </c>
      <c r="DN43" s="37">
        <f t="shared" si="587"/>
        <v>75</v>
      </c>
      <c r="DO43" s="37">
        <f t="shared" si="587"/>
        <v>764</v>
      </c>
      <c r="DP43" s="39">
        <f t="shared" si="587"/>
        <v>9.8167539267015713E-2</v>
      </c>
      <c r="DQ43" s="39">
        <f t="shared" si="587"/>
        <v>0.88743455497382195</v>
      </c>
      <c r="DR43" s="37">
        <f t="shared" si="587"/>
        <v>62</v>
      </c>
      <c r="DS43" s="37">
        <f t="shared" si="587"/>
        <v>684</v>
      </c>
      <c r="DT43" s="39">
        <f t="shared" si="587"/>
        <v>9.0643274853801165E-2</v>
      </c>
      <c r="DU43" s="39">
        <f t="shared" si="587"/>
        <v>0.81941520467836249</v>
      </c>
      <c r="DV43" s="37">
        <f t="shared" si="587"/>
        <v>0</v>
      </c>
      <c r="DW43" s="37">
        <f t="shared" si="587"/>
        <v>0</v>
      </c>
      <c r="DX43" s="39">
        <f t="shared" si="587"/>
        <v>0</v>
      </c>
      <c r="DY43" s="39">
        <f t="shared" si="587"/>
        <v>0</v>
      </c>
      <c r="DZ43" s="37">
        <f t="shared" si="587"/>
        <v>1651</v>
      </c>
      <c r="EA43" s="37">
        <f t="shared" si="587"/>
        <v>19205</v>
      </c>
      <c r="EB43" s="39">
        <f t="shared" si="587"/>
        <v>8.5967196042697216E-2</v>
      </c>
      <c r="EC43" s="39">
        <f t="shared" si="587"/>
        <v>0.7771434522259828</v>
      </c>
      <c r="ED43" s="29"/>
      <c r="EE43" s="29"/>
      <c r="EF43" s="29"/>
      <c r="EG43" s="29"/>
      <c r="EH43" s="29"/>
      <c r="EI43" s="29"/>
      <c r="EJ43" s="29"/>
      <c r="EK43" s="29"/>
      <c r="EL43" s="29"/>
      <c r="EM43" s="29"/>
      <c r="EN43" s="29"/>
      <c r="EO43" s="29"/>
      <c r="EP43" s="29"/>
      <c r="EQ43" s="29"/>
      <c r="ER43" s="29"/>
      <c r="ES43" s="29"/>
      <c r="ET43" s="30"/>
      <c r="EU43" s="30"/>
      <c r="EV43" s="30"/>
      <c r="EW43" s="30"/>
      <c r="EX43" s="30"/>
      <c r="EY43" s="30"/>
      <c r="EZ43" s="31"/>
      <c r="FA43" s="31"/>
      <c r="FB43" s="31"/>
      <c r="FC43" s="31"/>
      <c r="FD43" s="31"/>
      <c r="FE43" s="31"/>
      <c r="FF43" s="31"/>
      <c r="FG43" s="31"/>
      <c r="FH43" s="31"/>
      <c r="FI43" s="31"/>
      <c r="FJ43" s="31"/>
      <c r="FK43" s="31"/>
      <c r="FL43" s="31"/>
      <c r="FM43" s="31"/>
      <c r="FN43" s="31"/>
      <c r="FO43" s="31"/>
      <c r="FP43" s="31"/>
      <c r="FQ43" s="31"/>
      <c r="FR43" s="31"/>
      <c r="FS43" s="31"/>
      <c r="FT43" s="31"/>
      <c r="FU43" s="31"/>
      <c r="FV43" s="31"/>
      <c r="FW43" s="31"/>
      <c r="FX43" s="31"/>
      <c r="FY43" s="31"/>
      <c r="FZ43" s="31"/>
      <c r="GA43" s="31"/>
      <c r="GB43" s="31"/>
      <c r="GC43" s="31"/>
      <c r="GD43" s="31"/>
      <c r="GE43" s="31"/>
      <c r="GF43" s="31"/>
      <c r="GG43" s="31"/>
      <c r="GH43" s="31"/>
      <c r="GI43" s="31"/>
      <c r="GJ43" s="31"/>
      <c r="GK43" s="31"/>
      <c r="GL43" s="31"/>
      <c r="GM43" s="31"/>
      <c r="GN43" s="31"/>
      <c r="GO43" s="31"/>
      <c r="GP43" s="31"/>
      <c r="GQ43" s="31"/>
      <c r="GR43" s="31"/>
      <c r="GS43" s="31"/>
      <c r="GT43" s="31"/>
      <c r="GU43" s="31"/>
      <c r="GV43" s="31"/>
      <c r="GW43" s="31"/>
      <c r="GX43" s="31"/>
      <c r="GY43" s="31"/>
      <c r="GZ43" s="31"/>
      <c r="HA43" s="31"/>
      <c r="HB43" s="31"/>
      <c r="HC43" s="31"/>
      <c r="HD43" s="31"/>
      <c r="HE43" s="31"/>
      <c r="HF43" s="31"/>
      <c r="HG43" s="31"/>
      <c r="HH43" s="31"/>
      <c r="HI43" s="31"/>
      <c r="HJ43" s="31"/>
      <c r="HK43" s="31"/>
      <c r="HL43" s="31"/>
      <c r="HM43" s="31"/>
      <c r="HN43" s="31"/>
      <c r="HO43" s="31"/>
      <c r="HP43" s="31"/>
      <c r="HQ43" s="31"/>
      <c r="HR43" s="31"/>
      <c r="HS43" s="31"/>
      <c r="HT43" s="31"/>
      <c r="HU43" s="31"/>
      <c r="HV43" s="31"/>
      <c r="HW43" s="31"/>
      <c r="HX43" s="31"/>
      <c r="HY43" s="31"/>
      <c r="HZ43" s="31"/>
      <c r="IA43" s="31"/>
      <c r="IB43" s="31"/>
      <c r="IC43" s="31"/>
      <c r="ID43" s="31"/>
      <c r="IE43" s="31"/>
      <c r="IF43" s="31"/>
      <c r="IG43" s="31"/>
      <c r="IH43" s="31"/>
      <c r="II43" s="31"/>
      <c r="IJ43" s="31"/>
      <c r="IK43" s="31"/>
      <c r="IL43" s="31"/>
      <c r="IM43" s="31"/>
      <c r="IN43" s="31"/>
      <c r="IO43" s="31"/>
      <c r="IP43" s="31"/>
      <c r="IQ43" s="31"/>
      <c r="IR43" s="31"/>
      <c r="IS43" s="31"/>
      <c r="IT43" s="31"/>
      <c r="IU43" s="31"/>
      <c r="IV43" s="31"/>
      <c r="IW43" s="31"/>
      <c r="IX43" s="31"/>
      <c r="IY43" s="31"/>
      <c r="IZ43" s="31"/>
      <c r="JA43" s="31"/>
      <c r="JB43" s="31"/>
      <c r="JC43" s="31"/>
      <c r="JD43" s="31"/>
      <c r="JE43" s="31"/>
      <c r="JF43" s="31"/>
      <c r="JG43" s="31"/>
      <c r="JH43" s="31"/>
      <c r="JI43" s="31"/>
      <c r="JJ43" s="31"/>
      <c r="JK43" s="31"/>
      <c r="JL43" s="31"/>
      <c r="JM43" s="31"/>
    </row>
    <row r="44" spans="1:273" s="32" customFormat="1" ht="25.5" x14ac:dyDescent="0.35">
      <c r="A44" s="24"/>
      <c r="B44" s="24"/>
      <c r="C44" s="24">
        <v>16</v>
      </c>
      <c r="D44" s="25" t="s">
        <v>284</v>
      </c>
      <c r="E44" s="72" t="s">
        <v>314</v>
      </c>
      <c r="F44" s="66">
        <v>1</v>
      </c>
      <c r="G44" s="26">
        <f>$G$42</f>
        <v>0</v>
      </c>
      <c r="H44" s="27">
        <f t="shared" ref="H44:H45" si="588">IF((G44=0),0,F44/G44)</f>
        <v>0</v>
      </c>
      <c r="I44" s="27">
        <f t="shared" ref="I44:I45" si="589">H44*9.04</f>
        <v>0</v>
      </c>
      <c r="J44" s="66">
        <v>1</v>
      </c>
      <c r="K44" s="26">
        <f>K$42</f>
        <v>0</v>
      </c>
      <c r="L44" s="27">
        <f t="shared" ref="L44:L45" si="590">IF((K44=0),0,J44/K44)</f>
        <v>0</v>
      </c>
      <c r="M44" s="27">
        <f t="shared" ref="M44:M45" si="591">L44*9.04</f>
        <v>0</v>
      </c>
      <c r="N44" s="66">
        <v>1</v>
      </c>
      <c r="O44" s="26">
        <f>O$42</f>
        <v>597</v>
      </c>
      <c r="P44" s="27">
        <f t="shared" ref="P44:P45" si="592">IF((O44=0),0,N44/O44)</f>
        <v>1.6750418760469012E-3</v>
      </c>
      <c r="Q44" s="27">
        <f t="shared" ref="Q44:Q45" si="593">P44*9.04</f>
        <v>1.5142378559463985E-2</v>
      </c>
      <c r="R44" s="66">
        <v>1</v>
      </c>
      <c r="S44" s="26">
        <f>S$42</f>
        <v>628</v>
      </c>
      <c r="T44" s="27">
        <f t="shared" ref="T44:T45" si="594">IF((S44=0),0,R44/S44)</f>
        <v>1.5923566878980893E-3</v>
      </c>
      <c r="U44" s="27">
        <f t="shared" ref="U44:U45" si="595">T44*9.04</f>
        <v>1.4394904458598725E-2</v>
      </c>
      <c r="V44" s="66">
        <v>1</v>
      </c>
      <c r="W44" s="26">
        <f>W$42</f>
        <v>913</v>
      </c>
      <c r="X44" s="27">
        <f t="shared" ref="X44:X45" si="596">IF((W44=0),0,V44/W44)</f>
        <v>1.0952902519167579E-3</v>
      </c>
      <c r="Y44" s="27">
        <f t="shared" ref="Y44:Y45" si="597">X44*9.04</f>
        <v>9.9014238773274914E-3</v>
      </c>
      <c r="Z44" s="66">
        <v>5</v>
      </c>
      <c r="AA44" s="26">
        <f>AA$42</f>
        <v>0</v>
      </c>
      <c r="AB44" s="27">
        <f t="shared" ref="AB44:AB45" si="598">IF((AA44=0),0,Z44/AA44)</f>
        <v>0</v>
      </c>
      <c r="AC44" s="27">
        <f t="shared" ref="AC44:AC45" si="599">AB44*9.04</f>
        <v>0</v>
      </c>
      <c r="AD44" s="66">
        <v>1</v>
      </c>
      <c r="AE44" s="26">
        <f>AE$42</f>
        <v>523</v>
      </c>
      <c r="AF44" s="27">
        <f t="shared" ref="AF44:AF55" si="600">IF((AE44=0),0,AD44/AE44)</f>
        <v>1.9120458891013384E-3</v>
      </c>
      <c r="AG44" s="27">
        <f t="shared" ref="AG44:AG55" si="601">AF44*9.04</f>
        <v>1.7284894837476097E-2</v>
      </c>
      <c r="AH44" s="66">
        <v>1</v>
      </c>
      <c r="AI44" s="26">
        <f>AI$42</f>
        <v>0</v>
      </c>
      <c r="AJ44" s="27">
        <f t="shared" ref="AJ44:AJ45" si="602">IF((AI44=0),0,AH44/AI44)</f>
        <v>0</v>
      </c>
      <c r="AK44" s="27">
        <f t="shared" ref="AK44:AK45" si="603">AJ44*9.04</f>
        <v>0</v>
      </c>
      <c r="AL44" s="66">
        <v>1</v>
      </c>
      <c r="AM44" s="26">
        <f>AM$42</f>
        <v>1004</v>
      </c>
      <c r="AN44" s="27">
        <f t="shared" ref="AN44:AN45" si="604">IF((AM44=0),0,AL44/AM44)</f>
        <v>9.9601593625498006E-4</v>
      </c>
      <c r="AO44" s="27">
        <f t="shared" ref="AO44:AO45" si="605">AN44*9.04</f>
        <v>9.0039840637450193E-3</v>
      </c>
      <c r="AP44" s="66">
        <v>1</v>
      </c>
      <c r="AQ44" s="26">
        <f>AQ$42</f>
        <v>1157</v>
      </c>
      <c r="AR44" s="27">
        <f t="shared" ref="AR44:AR45" si="606">IF((AQ44=0),0,AP44/AQ44)</f>
        <v>8.6430423509075197E-4</v>
      </c>
      <c r="AS44" s="27">
        <f t="shared" ref="AS44:AS45" si="607">AR44*9.04</f>
        <v>7.8133102852203963E-3</v>
      </c>
      <c r="AT44" s="66">
        <v>1</v>
      </c>
      <c r="AU44" s="26">
        <f>AU$42</f>
        <v>0</v>
      </c>
      <c r="AV44" s="27">
        <f t="shared" ref="AV44:AV45" si="608">IF((AU44=0),0,AT44/AU44)</f>
        <v>0</v>
      </c>
      <c r="AW44" s="27">
        <f t="shared" ref="AW44:AW45" si="609">AV44*9.04</f>
        <v>0</v>
      </c>
      <c r="AX44" s="66">
        <v>1</v>
      </c>
      <c r="AY44" s="26">
        <f>AY$42</f>
        <v>1046</v>
      </c>
      <c r="AZ44" s="27">
        <f t="shared" ref="AZ44:AZ45" si="610">IF((AY44=0),0,AX44/AY44)</f>
        <v>9.5602294455066918E-4</v>
      </c>
      <c r="BA44" s="27">
        <f t="shared" ref="BA44:BA45" si="611">AZ44*9.04</f>
        <v>8.6424474187380487E-3</v>
      </c>
      <c r="BB44" s="66">
        <v>1</v>
      </c>
      <c r="BC44" s="26">
        <f>BC$42</f>
        <v>0</v>
      </c>
      <c r="BD44" s="27">
        <f t="shared" ref="BD44:BD45" si="612">IF((BC44=0),0,BB44/BC44)</f>
        <v>0</v>
      </c>
      <c r="BE44" s="27">
        <f t="shared" ref="BE44:BE45" si="613">BD44*9.04</f>
        <v>0</v>
      </c>
      <c r="BF44" s="66">
        <v>4</v>
      </c>
      <c r="BG44" s="26">
        <f>BG$42</f>
        <v>744</v>
      </c>
      <c r="BH44" s="27">
        <f t="shared" ref="BH44:BH45" si="614">IF((BG44=0),0,BF44/BG44)</f>
        <v>5.3763440860215058E-3</v>
      </c>
      <c r="BI44" s="27">
        <f t="shared" ref="BI44:BI45" si="615">BH44*9.04</f>
        <v>4.8602150537634406E-2</v>
      </c>
      <c r="BJ44" s="66">
        <v>6</v>
      </c>
      <c r="BK44" s="26">
        <f>BK$42</f>
        <v>1089</v>
      </c>
      <c r="BL44" s="27">
        <f t="shared" ref="BL44:BL45" si="616">IF((BK44=0),0,BJ44/BK44)</f>
        <v>5.5096418732782371E-3</v>
      </c>
      <c r="BM44" s="27">
        <f t="shared" ref="BM44:BM45" si="617">BL44*9.04</f>
        <v>4.9807162534435255E-2</v>
      </c>
      <c r="BN44" s="66">
        <v>1</v>
      </c>
      <c r="BO44" s="26">
        <f>BO$42</f>
        <v>1083</v>
      </c>
      <c r="BP44" s="27">
        <f t="shared" ref="BP44:BP45" si="618">IF((BO44=0),0,BN44/BO44)</f>
        <v>9.2336103416435823E-4</v>
      </c>
      <c r="BQ44" s="27">
        <f t="shared" ref="BQ44:BQ45" si="619">BP44*9.04</f>
        <v>8.3471837488457972E-3</v>
      </c>
      <c r="BR44" s="66">
        <v>2</v>
      </c>
      <c r="BS44" s="26">
        <f>BS$42</f>
        <v>960</v>
      </c>
      <c r="BT44" s="27">
        <f t="shared" ref="BT44:BT45" si="620">IF((BS44=0),0,BR44/BS44)</f>
        <v>2.0833333333333333E-3</v>
      </c>
      <c r="BU44" s="27">
        <f t="shared" ref="BU44:BU45" si="621">BT44*9.04</f>
        <v>1.883333333333333E-2</v>
      </c>
      <c r="BV44" s="66">
        <v>1</v>
      </c>
      <c r="BW44" s="26">
        <f>BW$42</f>
        <v>958</v>
      </c>
      <c r="BX44" s="27">
        <f t="shared" ref="BX44:BX45" si="622">IF((BW44=0),0,BV44/BW44)</f>
        <v>1.0438413361169101E-3</v>
      </c>
      <c r="BY44" s="27">
        <f t="shared" ref="BY44:BY45" si="623">BX44*9.04</f>
        <v>9.4363256784968669E-3</v>
      </c>
      <c r="BZ44" s="66">
        <v>1</v>
      </c>
      <c r="CA44" s="26">
        <f>CA$42</f>
        <v>345</v>
      </c>
      <c r="CB44" s="27">
        <f t="shared" ref="CB44:CB45" si="624">IF((CA44=0),0,BZ44/CA44)</f>
        <v>2.8985507246376812E-3</v>
      </c>
      <c r="CC44" s="27">
        <f t="shared" ref="CC44:CC45" si="625">CB44*9.04</f>
        <v>2.6202898550724635E-2</v>
      </c>
      <c r="CD44" s="66">
        <v>1</v>
      </c>
      <c r="CE44" s="26">
        <f>CE$42</f>
        <v>801</v>
      </c>
      <c r="CF44" s="27">
        <f t="shared" ref="CF44:CF45" si="626">IF((CE44=0),0,CD44/CE44)</f>
        <v>1.2484394506866417E-3</v>
      </c>
      <c r="CG44" s="27">
        <f t="shared" ref="CG44:CG45" si="627">CF44*9.04</f>
        <v>1.1285892634207239E-2</v>
      </c>
      <c r="CH44" s="66">
        <v>2</v>
      </c>
      <c r="CI44" s="26">
        <f>CI$42</f>
        <v>0</v>
      </c>
      <c r="CJ44" s="27">
        <f t="shared" ref="CJ44:CJ45" si="628">IF((CI44=0),0,CH44/CI44)</f>
        <v>0</v>
      </c>
      <c r="CK44" s="27">
        <f t="shared" ref="CK44:CK45" si="629">CJ44*9.04</f>
        <v>0</v>
      </c>
      <c r="CL44" s="62">
        <v>5</v>
      </c>
      <c r="CM44" s="26">
        <f>CM$42</f>
        <v>1235</v>
      </c>
      <c r="CN44" s="27">
        <f t="shared" ref="CN44:CN45" si="630">IF((CM44=0),0,CL44/CM44)</f>
        <v>4.048582995951417E-3</v>
      </c>
      <c r="CO44" s="27">
        <f t="shared" ref="CO44:CO45" si="631">CN44*9.04</f>
        <v>3.6599190283400806E-2</v>
      </c>
      <c r="CP44" s="8">
        <v>1</v>
      </c>
      <c r="CQ44" s="26">
        <f>CQ$42</f>
        <v>1167</v>
      </c>
      <c r="CR44" s="27">
        <f t="shared" ref="CR44:CR45" si="632">IF((CQ44=0),0,CP44/CQ44)</f>
        <v>8.5689802913453304E-4</v>
      </c>
      <c r="CS44" s="27">
        <f t="shared" ref="CS44:CS45" si="633">CR44*9.04</f>
        <v>7.746358183376178E-3</v>
      </c>
      <c r="CT44" s="8">
        <v>1</v>
      </c>
      <c r="CU44" s="26">
        <f>CU$42</f>
        <v>925</v>
      </c>
      <c r="CV44" s="27">
        <f t="shared" ref="CV44:CV45" si="634">IF((CU44=0),0,CT44/CU44)</f>
        <v>1.0810810810810811E-3</v>
      </c>
      <c r="CW44" s="27">
        <f t="shared" ref="CW44:CW45" si="635">CV44*9.04</f>
        <v>9.7729729729729726E-3</v>
      </c>
      <c r="CX44" s="8">
        <v>1</v>
      </c>
      <c r="CY44" s="26">
        <f>CY$42</f>
        <v>400</v>
      </c>
      <c r="CZ44" s="27">
        <f t="shared" ref="CZ44:CZ45" si="636">IF((CY44=0),0,CX44/CY44)</f>
        <v>2.5000000000000001E-3</v>
      </c>
      <c r="DA44" s="27">
        <f t="shared" ref="DA44:DA45" si="637">CZ44*9.04</f>
        <v>2.2599999999999999E-2</v>
      </c>
      <c r="DB44" s="63">
        <v>2</v>
      </c>
      <c r="DC44" s="26">
        <f>DC$42</f>
        <v>517</v>
      </c>
      <c r="DD44" s="27">
        <f t="shared" ref="DD44:DD45" si="638">IF((DC44=0),0,DB44/DC44)</f>
        <v>3.8684719535783366E-3</v>
      </c>
      <c r="DE44" s="27">
        <f t="shared" ref="DE44:DE45" si="639">DD44*9.04</f>
        <v>3.4970986460348158E-2</v>
      </c>
      <c r="DF44" s="8">
        <v>1</v>
      </c>
      <c r="DG44" s="26">
        <f>DG$42</f>
        <v>1125</v>
      </c>
      <c r="DH44" s="27">
        <f t="shared" ref="DH44:DH45" si="640">IF((DG44=0),0,DF44/DG44)</f>
        <v>8.8888888888888893E-4</v>
      </c>
      <c r="DI44" s="27">
        <f t="shared" ref="DI44:DI45" si="641">DH44*9.04</f>
        <v>8.0355555555555545E-3</v>
      </c>
      <c r="DJ44" s="8">
        <v>1</v>
      </c>
      <c r="DK44" s="26">
        <f>DK$42</f>
        <v>1063</v>
      </c>
      <c r="DL44" s="27">
        <f t="shared" ref="DL44:DL45" si="642">IF((DK44=0),0,DJ44/DK44)</f>
        <v>9.4073377234242712E-4</v>
      </c>
      <c r="DM44" s="27">
        <f t="shared" ref="DM44:DM45" si="643">DL44*9.04</f>
        <v>8.50423330197554E-3</v>
      </c>
      <c r="DN44" s="8">
        <v>1</v>
      </c>
      <c r="DO44" s="26">
        <f>DO$42</f>
        <v>764</v>
      </c>
      <c r="DP44" s="27">
        <f t="shared" ref="DP44:DP45" si="644">IF((DO44=0),0,DN44/DO44)</f>
        <v>1.3089005235602095E-3</v>
      </c>
      <c r="DQ44" s="27">
        <f t="shared" ref="DQ44:DQ45" si="645">DP44*9.04</f>
        <v>1.1832460732984293E-2</v>
      </c>
      <c r="DR44" s="8">
        <v>2</v>
      </c>
      <c r="DS44" s="26">
        <f>DS$42</f>
        <v>684</v>
      </c>
      <c r="DT44" s="27">
        <f t="shared" ref="DT44:DT45" si="646">IF((DS44=0),0,DR44/DS44)</f>
        <v>2.9239766081871343E-3</v>
      </c>
      <c r="DU44" s="27">
        <f t="shared" ref="DU44:DU45" si="647">DT44*9.04</f>
        <v>2.6432748538011693E-2</v>
      </c>
      <c r="DV44" s="8"/>
      <c r="DW44" s="26">
        <f>DW$42</f>
        <v>0</v>
      </c>
      <c r="DX44" s="27">
        <f t="shared" ref="DX44:DX55" si="648">IF((DW44=0),0,DV44/DW44)</f>
        <v>0</v>
      </c>
      <c r="DY44" s="27">
        <f t="shared" ref="DY44:DY55" si="649">DX44*9.04</f>
        <v>0</v>
      </c>
      <c r="DZ44" s="28">
        <f t="shared" ref="DZ44:DZ55" si="650">F44+J44+N44+R44+V44+Z44+AD44+AH44+AL44+AP44+AT44+AX44+BB44+BF44+BJ44+BN44+BR44+BV44+BZ44+CD44+CH44+CL44+CP44+CT44+CX44+DB44+DF44+DJ44+DN44+DR44+DV44</f>
        <v>50</v>
      </c>
      <c r="EA44" s="28">
        <f t="shared" ref="EA44:EA55" si="651">G44+K44+O44+S44+W44+AA44+AI44+AM44+AQ44+AU44+AY44+BC44+BG44+BK44+BO44+BS44+BW44+CA44+CE44+CI44+CM44+CQ44+CU44+CY44+DC44+DG44+DK44+DO44+DS44+DW44</f>
        <v>19205</v>
      </c>
      <c r="EB44" s="33">
        <f t="shared" ref="EB44:EB55" si="652">IF((EA44=0),0,DZ44/EA44)</f>
        <v>2.6034886748242643E-3</v>
      </c>
      <c r="EC44" s="33">
        <f t="shared" ref="EC44:EC55" si="653">EB44*9.04</f>
        <v>2.3535537620411346E-2</v>
      </c>
      <c r="ED44" s="29"/>
      <c r="EE44" s="29"/>
      <c r="EF44" s="29"/>
      <c r="EG44" s="29"/>
      <c r="EH44" s="29"/>
      <c r="EI44" s="29"/>
      <c r="EJ44" s="29"/>
      <c r="EK44" s="29"/>
      <c r="EL44" s="29"/>
      <c r="EM44" s="29"/>
      <c r="EN44" s="29"/>
      <c r="EO44" s="29"/>
      <c r="EP44" s="29"/>
      <c r="EQ44" s="29"/>
      <c r="ER44" s="29"/>
      <c r="ES44" s="29"/>
      <c r="ET44" s="30"/>
      <c r="EU44" s="30"/>
      <c r="EV44" s="30"/>
      <c r="EW44" s="30"/>
      <c r="EX44" s="30"/>
      <c r="EY44" s="30"/>
      <c r="EZ44" s="31"/>
      <c r="FA44" s="31"/>
      <c r="FB44" s="31"/>
      <c r="FC44" s="31"/>
      <c r="FD44" s="31"/>
      <c r="FE44" s="31"/>
      <c r="FF44" s="31"/>
      <c r="FG44" s="31"/>
      <c r="FH44" s="31"/>
      <c r="FI44" s="31"/>
      <c r="FJ44" s="31"/>
      <c r="FK44" s="31"/>
      <c r="FL44" s="31"/>
      <c r="FM44" s="31"/>
      <c r="FN44" s="31"/>
      <c r="FO44" s="31"/>
      <c r="FP44" s="31"/>
      <c r="FQ44" s="31"/>
      <c r="FR44" s="31"/>
      <c r="FS44" s="31"/>
      <c r="FT44" s="31"/>
      <c r="FU44" s="31"/>
      <c r="FV44" s="31"/>
      <c r="FW44" s="31"/>
      <c r="FX44" s="31"/>
      <c r="FY44" s="31"/>
      <c r="FZ44" s="31"/>
      <c r="GA44" s="31"/>
      <c r="GB44" s="31"/>
      <c r="GC44" s="31"/>
      <c r="GD44" s="31"/>
      <c r="GE44" s="31"/>
      <c r="GF44" s="31"/>
      <c r="GG44" s="31"/>
      <c r="GH44" s="31"/>
      <c r="GI44" s="31"/>
      <c r="GJ44" s="31"/>
      <c r="GK44" s="31"/>
      <c r="GL44" s="31"/>
      <c r="GM44" s="31"/>
      <c r="GN44" s="31"/>
      <c r="GO44" s="31"/>
      <c r="GP44" s="31"/>
      <c r="GQ44" s="31"/>
      <c r="GR44" s="31"/>
      <c r="GS44" s="31"/>
      <c r="GT44" s="31"/>
      <c r="GU44" s="31"/>
      <c r="GV44" s="31"/>
      <c r="GW44" s="31"/>
      <c r="GX44" s="31"/>
      <c r="GY44" s="31"/>
      <c r="GZ44" s="31"/>
      <c r="HA44" s="31"/>
      <c r="HB44" s="31"/>
      <c r="HC44" s="31"/>
      <c r="HD44" s="31"/>
      <c r="HE44" s="31"/>
      <c r="HF44" s="31"/>
      <c r="HG44" s="31"/>
      <c r="HH44" s="31"/>
      <c r="HI44" s="31"/>
      <c r="HJ44" s="31"/>
      <c r="HK44" s="31"/>
      <c r="HL44" s="31"/>
      <c r="HM44" s="31"/>
      <c r="HN44" s="31"/>
      <c r="HO44" s="31"/>
      <c r="HP44" s="31"/>
      <c r="HQ44" s="31"/>
      <c r="HR44" s="31"/>
      <c r="HS44" s="31"/>
      <c r="HT44" s="31"/>
      <c r="HU44" s="31"/>
      <c r="HV44" s="31"/>
      <c r="HW44" s="31"/>
      <c r="HX44" s="31"/>
      <c r="HY44" s="31"/>
      <c r="HZ44" s="31"/>
      <c r="IA44" s="31"/>
      <c r="IB44" s="31"/>
      <c r="IC44" s="31"/>
      <c r="ID44" s="31"/>
      <c r="IE44" s="31"/>
      <c r="IF44" s="31"/>
      <c r="IG44" s="31"/>
      <c r="IH44" s="31"/>
      <c r="II44" s="31"/>
      <c r="IJ44" s="31"/>
      <c r="IK44" s="31"/>
      <c r="IL44" s="31"/>
      <c r="IM44" s="31"/>
      <c r="IN44" s="31"/>
      <c r="IO44" s="31"/>
      <c r="IP44" s="31"/>
      <c r="IQ44" s="31"/>
      <c r="IR44" s="31"/>
      <c r="IS44" s="31"/>
      <c r="IT44" s="31"/>
      <c r="IU44" s="31"/>
      <c r="IV44" s="31"/>
      <c r="IW44" s="31"/>
      <c r="IX44" s="31"/>
      <c r="IY44" s="31"/>
      <c r="IZ44" s="31"/>
      <c r="JA44" s="31"/>
      <c r="JB44" s="31"/>
      <c r="JC44" s="31"/>
      <c r="JD44" s="31"/>
      <c r="JE44" s="31"/>
      <c r="JF44" s="31"/>
      <c r="JG44" s="31"/>
      <c r="JH44" s="31"/>
      <c r="JI44" s="31"/>
      <c r="JJ44" s="31"/>
      <c r="JK44" s="31"/>
      <c r="JL44" s="31"/>
      <c r="JM44" s="31"/>
    </row>
    <row r="45" spans="1:273" s="32" customFormat="1" ht="25.5" x14ac:dyDescent="0.35">
      <c r="A45" s="24"/>
      <c r="B45" s="24"/>
      <c r="C45" s="24">
        <v>17</v>
      </c>
      <c r="D45" s="25" t="s">
        <v>285</v>
      </c>
      <c r="E45" s="72"/>
      <c r="F45" s="66">
        <v>127</v>
      </c>
      <c r="G45" s="26">
        <f t="shared" ref="G45:G55" si="654">$G$42</f>
        <v>0</v>
      </c>
      <c r="H45" s="27">
        <f t="shared" si="588"/>
        <v>0</v>
      </c>
      <c r="I45" s="27">
        <f t="shared" si="589"/>
        <v>0</v>
      </c>
      <c r="J45" s="66">
        <v>503</v>
      </c>
      <c r="K45" s="26">
        <f t="shared" ref="K45:K55" si="655">K$42</f>
        <v>0</v>
      </c>
      <c r="L45" s="27">
        <f t="shared" si="590"/>
        <v>0</v>
      </c>
      <c r="M45" s="27">
        <f t="shared" si="591"/>
        <v>0</v>
      </c>
      <c r="N45" s="66">
        <v>519</v>
      </c>
      <c r="O45" s="26">
        <f t="shared" ref="O45:O55" si="656">O$42</f>
        <v>597</v>
      </c>
      <c r="P45" s="27">
        <f t="shared" si="592"/>
        <v>0.8693467336683417</v>
      </c>
      <c r="Q45" s="27">
        <f t="shared" si="593"/>
        <v>7.8588944723618086</v>
      </c>
      <c r="R45" s="66">
        <v>574</v>
      </c>
      <c r="S45" s="26">
        <f t="shared" ref="S45:S55" si="657">S$42</f>
        <v>628</v>
      </c>
      <c r="T45" s="27">
        <f t="shared" si="594"/>
        <v>0.9140127388535032</v>
      </c>
      <c r="U45" s="27">
        <f t="shared" si="595"/>
        <v>8.262675159235668</v>
      </c>
      <c r="V45" s="66">
        <v>554</v>
      </c>
      <c r="W45" s="26">
        <f t="shared" ref="W45:W55" si="658">W$42</f>
        <v>913</v>
      </c>
      <c r="X45" s="27">
        <f t="shared" si="596"/>
        <v>0.60679079956188386</v>
      </c>
      <c r="Y45" s="27">
        <f t="shared" si="597"/>
        <v>5.4853888280394294</v>
      </c>
      <c r="Z45" s="66">
        <v>227</v>
      </c>
      <c r="AA45" s="26">
        <f t="shared" ref="AA45:AA55" si="659">AA$42</f>
        <v>0</v>
      </c>
      <c r="AB45" s="27">
        <f t="shared" si="598"/>
        <v>0</v>
      </c>
      <c r="AC45" s="27">
        <f t="shared" si="599"/>
        <v>0</v>
      </c>
      <c r="AD45" s="66">
        <v>480</v>
      </c>
      <c r="AE45" s="26">
        <f t="shared" ref="AE45:AE55" si="660">AE$42</f>
        <v>523</v>
      </c>
      <c r="AF45" s="27">
        <f t="shared" si="600"/>
        <v>0.9177820267686424</v>
      </c>
      <c r="AG45" s="27">
        <f t="shared" si="601"/>
        <v>8.2967495219885272</v>
      </c>
      <c r="AH45" s="66">
        <v>519</v>
      </c>
      <c r="AI45" s="26">
        <f t="shared" ref="AI45:AI55" si="661">AI$42</f>
        <v>0</v>
      </c>
      <c r="AJ45" s="27">
        <f t="shared" si="602"/>
        <v>0</v>
      </c>
      <c r="AK45" s="27">
        <f t="shared" si="603"/>
        <v>0</v>
      </c>
      <c r="AL45" s="66">
        <v>542</v>
      </c>
      <c r="AM45" s="26">
        <f t="shared" ref="AM45:AM55" si="662">AM$42</f>
        <v>1004</v>
      </c>
      <c r="AN45" s="27">
        <f t="shared" si="604"/>
        <v>0.53984063745019917</v>
      </c>
      <c r="AO45" s="27">
        <f t="shared" si="605"/>
        <v>4.8801593625497999</v>
      </c>
      <c r="AP45" s="66">
        <v>518</v>
      </c>
      <c r="AQ45" s="26">
        <f t="shared" ref="AQ45:AQ55" si="663">AQ$42</f>
        <v>1157</v>
      </c>
      <c r="AR45" s="27">
        <f t="shared" si="606"/>
        <v>0.44770959377700953</v>
      </c>
      <c r="AS45" s="27">
        <f t="shared" si="607"/>
        <v>4.0472947277441653</v>
      </c>
      <c r="AT45" s="66">
        <v>495</v>
      </c>
      <c r="AU45" s="26">
        <f t="shared" ref="AU45:AU55" si="664">AU$42</f>
        <v>0</v>
      </c>
      <c r="AV45" s="27">
        <f t="shared" si="608"/>
        <v>0</v>
      </c>
      <c r="AW45" s="27">
        <f t="shared" si="609"/>
        <v>0</v>
      </c>
      <c r="AX45" s="66">
        <v>487</v>
      </c>
      <c r="AY45" s="26">
        <f t="shared" ref="AY45:AY55" si="665">AY$42</f>
        <v>1046</v>
      </c>
      <c r="AZ45" s="27">
        <f t="shared" si="610"/>
        <v>0.46558317399617588</v>
      </c>
      <c r="BA45" s="27">
        <f t="shared" si="611"/>
        <v>4.2088718929254298</v>
      </c>
      <c r="BB45" s="66">
        <v>410</v>
      </c>
      <c r="BC45" s="26">
        <f t="shared" ref="BC45:BC55" si="666">BC$42</f>
        <v>0</v>
      </c>
      <c r="BD45" s="27">
        <f t="shared" si="612"/>
        <v>0</v>
      </c>
      <c r="BE45" s="27">
        <f t="shared" si="613"/>
        <v>0</v>
      </c>
      <c r="BF45" s="66">
        <v>300</v>
      </c>
      <c r="BG45" s="26">
        <f t="shared" ref="BG45:BG55" si="667">BG$42</f>
        <v>744</v>
      </c>
      <c r="BH45" s="27">
        <f t="shared" si="614"/>
        <v>0.40322580645161288</v>
      </c>
      <c r="BI45" s="27">
        <f t="shared" si="615"/>
        <v>3.6451612903225801</v>
      </c>
      <c r="BJ45" s="66">
        <v>534</v>
      </c>
      <c r="BK45" s="26">
        <f t="shared" ref="BK45:BK55" si="668">BK$42</f>
        <v>1089</v>
      </c>
      <c r="BL45" s="27">
        <f t="shared" si="616"/>
        <v>0.4903581267217631</v>
      </c>
      <c r="BM45" s="27">
        <f t="shared" si="617"/>
        <v>4.432837465564738</v>
      </c>
      <c r="BN45" s="66">
        <v>500</v>
      </c>
      <c r="BO45" s="26">
        <f t="shared" ref="BO45:BO55" si="669">BO$42</f>
        <v>1083</v>
      </c>
      <c r="BP45" s="27">
        <f t="shared" si="618"/>
        <v>0.46168051708217911</v>
      </c>
      <c r="BQ45" s="27">
        <f t="shared" si="619"/>
        <v>4.1735918744228986</v>
      </c>
      <c r="BR45" s="66">
        <v>488</v>
      </c>
      <c r="BS45" s="26">
        <f t="shared" ref="BS45:BS55" si="670">BS$42</f>
        <v>960</v>
      </c>
      <c r="BT45" s="27">
        <f t="shared" si="620"/>
        <v>0.5083333333333333</v>
      </c>
      <c r="BU45" s="27">
        <f t="shared" si="621"/>
        <v>4.5953333333333326</v>
      </c>
      <c r="BV45" s="66">
        <v>481</v>
      </c>
      <c r="BW45" s="26">
        <f t="shared" ref="BW45:BW55" si="671">BW$42</f>
        <v>958</v>
      </c>
      <c r="BX45" s="27">
        <f t="shared" si="622"/>
        <v>0.5020876826722338</v>
      </c>
      <c r="BY45" s="27">
        <f t="shared" si="623"/>
        <v>4.5388726513569928</v>
      </c>
      <c r="BZ45" s="66">
        <v>479</v>
      </c>
      <c r="CA45" s="26">
        <f t="shared" ref="CA45:CA55" si="672">CA$42</f>
        <v>345</v>
      </c>
      <c r="CB45" s="27">
        <f t="shared" si="624"/>
        <v>1.3884057971014492</v>
      </c>
      <c r="CC45" s="27">
        <f t="shared" si="625"/>
        <v>12.551188405797099</v>
      </c>
      <c r="CD45" s="66">
        <v>486</v>
      </c>
      <c r="CE45" s="26">
        <f t="shared" ref="CE45:CE55" si="673">CE$42</f>
        <v>801</v>
      </c>
      <c r="CF45" s="27">
        <f t="shared" si="626"/>
        <v>0.6067415730337079</v>
      </c>
      <c r="CG45" s="27">
        <f t="shared" si="627"/>
        <v>5.4849438202247187</v>
      </c>
      <c r="CH45" s="66">
        <v>317</v>
      </c>
      <c r="CI45" s="26">
        <f t="shared" ref="CI45:CI55" si="674">CI$42</f>
        <v>0</v>
      </c>
      <c r="CJ45" s="27">
        <f t="shared" si="628"/>
        <v>0</v>
      </c>
      <c r="CK45" s="27">
        <f t="shared" si="629"/>
        <v>0</v>
      </c>
      <c r="CL45" s="62">
        <v>591</v>
      </c>
      <c r="CM45" s="26">
        <f t="shared" ref="CM45:CM55" si="675">CM$42</f>
        <v>1235</v>
      </c>
      <c r="CN45" s="27">
        <f t="shared" si="630"/>
        <v>0.47854251012145749</v>
      </c>
      <c r="CO45" s="27">
        <f t="shared" si="631"/>
        <v>4.3260242914979754</v>
      </c>
      <c r="CP45" s="8">
        <v>617</v>
      </c>
      <c r="CQ45" s="26">
        <f t="shared" ref="CQ45:CQ55" si="676">CQ$42</f>
        <v>1167</v>
      </c>
      <c r="CR45" s="27">
        <f t="shared" si="632"/>
        <v>0.52870608397600682</v>
      </c>
      <c r="CS45" s="27">
        <f t="shared" si="633"/>
        <v>4.7795029991431015</v>
      </c>
      <c r="CT45" s="8">
        <v>520</v>
      </c>
      <c r="CU45" s="26">
        <f t="shared" ref="CU45:CU55" si="677">CU$42</f>
        <v>925</v>
      </c>
      <c r="CV45" s="27">
        <f t="shared" si="634"/>
        <v>0.56216216216216219</v>
      </c>
      <c r="CW45" s="27">
        <f t="shared" si="635"/>
        <v>5.0819459459459457</v>
      </c>
      <c r="CX45" s="8">
        <v>553</v>
      </c>
      <c r="CY45" s="26">
        <f t="shared" ref="CY45:CY55" si="678">CY$42</f>
        <v>400</v>
      </c>
      <c r="CZ45" s="27">
        <f t="shared" si="636"/>
        <v>1.3825000000000001</v>
      </c>
      <c r="DA45" s="27">
        <f t="shared" si="637"/>
        <v>12.4978</v>
      </c>
      <c r="DB45" s="63">
        <v>550</v>
      </c>
      <c r="DC45" s="26">
        <f t="shared" ref="DC45:DC55" si="679">DC$42</f>
        <v>517</v>
      </c>
      <c r="DD45" s="27">
        <f t="shared" si="638"/>
        <v>1.0638297872340425</v>
      </c>
      <c r="DE45" s="27">
        <f t="shared" si="639"/>
        <v>9.617021276595743</v>
      </c>
      <c r="DF45" s="8">
        <v>542</v>
      </c>
      <c r="DG45" s="26">
        <f t="shared" ref="DG45:DG55" si="680">DG$42</f>
        <v>1125</v>
      </c>
      <c r="DH45" s="27">
        <f t="shared" si="640"/>
        <v>0.4817777777777778</v>
      </c>
      <c r="DI45" s="27">
        <f t="shared" si="641"/>
        <v>4.3552711111111106</v>
      </c>
      <c r="DJ45" s="8">
        <v>450</v>
      </c>
      <c r="DK45" s="26">
        <f t="shared" ref="DK45:DK55" si="681">DK$42</f>
        <v>1063</v>
      </c>
      <c r="DL45" s="27">
        <f t="shared" si="642"/>
        <v>0.42333019755409218</v>
      </c>
      <c r="DM45" s="27">
        <f t="shared" si="643"/>
        <v>3.826904985888993</v>
      </c>
      <c r="DN45" s="8">
        <v>603</v>
      </c>
      <c r="DO45" s="26">
        <f t="shared" ref="DO45:DO55" si="682">DO$42</f>
        <v>764</v>
      </c>
      <c r="DP45" s="27">
        <f t="shared" si="644"/>
        <v>0.78926701570680624</v>
      </c>
      <c r="DQ45" s="27">
        <f t="shared" si="645"/>
        <v>7.1349738219895276</v>
      </c>
      <c r="DR45" s="8">
        <v>539</v>
      </c>
      <c r="DS45" s="26">
        <f t="shared" ref="DS45:DS55" si="683">DS$42</f>
        <v>684</v>
      </c>
      <c r="DT45" s="27">
        <f t="shared" si="646"/>
        <v>0.78801169590643272</v>
      </c>
      <c r="DU45" s="27">
        <f t="shared" si="647"/>
        <v>7.1236257309941511</v>
      </c>
      <c r="DV45" s="8"/>
      <c r="DW45" s="26">
        <f t="shared" ref="DW45:DW55" si="684">DW$42</f>
        <v>0</v>
      </c>
      <c r="DX45" s="27">
        <f t="shared" si="648"/>
        <v>0</v>
      </c>
      <c r="DY45" s="27">
        <f t="shared" si="649"/>
        <v>0</v>
      </c>
      <c r="DZ45" s="28">
        <f t="shared" si="650"/>
        <v>14505</v>
      </c>
      <c r="EA45" s="28">
        <f t="shared" si="651"/>
        <v>19205</v>
      </c>
      <c r="EB45" s="33">
        <f t="shared" si="652"/>
        <v>0.75527206456651919</v>
      </c>
      <c r="EC45" s="33">
        <f t="shared" si="653"/>
        <v>6.827659463681333</v>
      </c>
      <c r="ED45" s="29"/>
      <c r="EE45" s="29"/>
      <c r="EF45" s="29"/>
      <c r="EG45" s="29"/>
      <c r="EH45" s="29"/>
      <c r="EI45" s="29"/>
      <c r="EJ45" s="29"/>
      <c r="EK45" s="29"/>
      <c r="EL45" s="29"/>
      <c r="EM45" s="29"/>
      <c r="EN45" s="29"/>
      <c r="EO45" s="29"/>
      <c r="EP45" s="29"/>
      <c r="EQ45" s="29"/>
      <c r="ER45" s="29"/>
      <c r="ES45" s="29"/>
      <c r="ET45" s="30"/>
      <c r="EU45" s="30"/>
      <c r="EV45" s="30"/>
      <c r="EW45" s="30"/>
      <c r="EX45" s="30"/>
      <c r="EY45" s="30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1"/>
      <c r="GN45" s="31"/>
      <c r="GO45" s="31"/>
      <c r="GP45" s="31"/>
      <c r="GQ45" s="31"/>
      <c r="GR45" s="31"/>
      <c r="GS45" s="31"/>
      <c r="GT45" s="31"/>
      <c r="GU45" s="31"/>
      <c r="GV45" s="31"/>
      <c r="GW45" s="31"/>
      <c r="GX45" s="31"/>
      <c r="GY45" s="31"/>
      <c r="GZ45" s="31"/>
      <c r="HA45" s="31"/>
      <c r="HB45" s="31"/>
      <c r="HC45" s="31"/>
      <c r="HD45" s="31"/>
      <c r="HE45" s="31"/>
      <c r="HF45" s="31"/>
      <c r="HG45" s="31"/>
      <c r="HH45" s="31"/>
      <c r="HI45" s="31"/>
      <c r="HJ45" s="31"/>
      <c r="HK45" s="31"/>
      <c r="HL45" s="31"/>
      <c r="HM45" s="31"/>
      <c r="HN45" s="31"/>
      <c r="HO45" s="31"/>
      <c r="HP45" s="31"/>
      <c r="HQ45" s="31"/>
      <c r="HR45" s="31"/>
      <c r="HS45" s="31"/>
      <c r="HT45" s="31"/>
      <c r="HU45" s="31"/>
      <c r="HV45" s="31"/>
      <c r="HW45" s="31"/>
      <c r="HX45" s="31"/>
      <c r="HY45" s="31"/>
      <c r="HZ45" s="31"/>
      <c r="IA45" s="31"/>
      <c r="IB45" s="31"/>
      <c r="IC45" s="31"/>
      <c r="ID45" s="31"/>
      <c r="IE45" s="31"/>
      <c r="IF45" s="31"/>
      <c r="IG45" s="31"/>
      <c r="IH45" s="31"/>
      <c r="II45" s="31"/>
      <c r="IJ45" s="31"/>
      <c r="IK45" s="31"/>
      <c r="IL45" s="31"/>
      <c r="IM45" s="31"/>
      <c r="IN45" s="31"/>
      <c r="IO45" s="31"/>
      <c r="IP45" s="31"/>
      <c r="IQ45" s="31"/>
      <c r="IR45" s="31"/>
      <c r="IS45" s="31"/>
      <c r="IT45" s="31"/>
      <c r="IU45" s="31"/>
      <c r="IV45" s="31"/>
      <c r="IW45" s="31"/>
      <c r="IX45" s="31"/>
      <c r="IY45" s="31"/>
      <c r="IZ45" s="31"/>
      <c r="JA45" s="31"/>
      <c r="JB45" s="31"/>
      <c r="JC45" s="31"/>
      <c r="JD45" s="31"/>
      <c r="JE45" s="31"/>
      <c r="JF45" s="31"/>
      <c r="JG45" s="31"/>
      <c r="JH45" s="31"/>
      <c r="JI45" s="31"/>
      <c r="JJ45" s="31"/>
      <c r="JK45" s="31"/>
      <c r="JL45" s="31"/>
      <c r="JM45" s="31"/>
    </row>
    <row r="46" spans="1:273" s="48" customFormat="1" ht="25.5" x14ac:dyDescent="0.35">
      <c r="D46" s="25" t="s">
        <v>321</v>
      </c>
      <c r="E46" s="72"/>
      <c r="F46" s="66">
        <v>36</v>
      </c>
      <c r="G46" s="26">
        <f t="shared" si="654"/>
        <v>0</v>
      </c>
      <c r="H46" s="27">
        <f t="shared" ref="H46:H55" si="685">IF((G46=0),0,F46/G46)</f>
        <v>0</v>
      </c>
      <c r="I46" s="27">
        <f t="shared" ref="I46:I55" si="686">H46*9.04</f>
        <v>0</v>
      </c>
      <c r="J46" s="66">
        <v>30</v>
      </c>
      <c r="K46" s="26">
        <f t="shared" si="655"/>
        <v>0</v>
      </c>
      <c r="L46" s="27">
        <f t="shared" ref="L46:L55" si="687">IF((K46=0),0,J46/K46)</f>
        <v>0</v>
      </c>
      <c r="M46" s="27">
        <f t="shared" ref="M46:M55" si="688">L46*9.04</f>
        <v>0</v>
      </c>
      <c r="N46" s="66">
        <v>42</v>
      </c>
      <c r="O46" s="26">
        <f t="shared" si="656"/>
        <v>597</v>
      </c>
      <c r="P46" s="27">
        <f t="shared" ref="P46:P55" si="689">IF((O46=0),0,N46/O46)</f>
        <v>7.0351758793969849E-2</v>
      </c>
      <c r="Q46" s="27">
        <f t="shared" ref="Q46:Q55" si="690">P46*9.04</f>
        <v>0.63597989949748734</v>
      </c>
      <c r="R46" s="66">
        <v>43</v>
      </c>
      <c r="S46" s="26">
        <f t="shared" si="657"/>
        <v>628</v>
      </c>
      <c r="T46" s="27">
        <f t="shared" ref="T46:T55" si="691">IF((S46=0),0,R46/S46)</f>
        <v>6.8471337579617833E-2</v>
      </c>
      <c r="U46" s="27">
        <f t="shared" ref="U46:U55" si="692">T46*9.04</f>
        <v>0.61898089171974513</v>
      </c>
      <c r="V46" s="66">
        <v>45</v>
      </c>
      <c r="W46" s="26">
        <f t="shared" si="658"/>
        <v>913</v>
      </c>
      <c r="X46" s="27">
        <f t="shared" ref="X46:X55" si="693">IF((W46=0),0,V46/W46)</f>
        <v>4.9288061336254109E-2</v>
      </c>
      <c r="Y46" s="27">
        <f t="shared" ref="Y46:Y55" si="694">X46*9.04</f>
        <v>0.44556407447973712</v>
      </c>
      <c r="Z46" s="66">
        <v>50</v>
      </c>
      <c r="AA46" s="26">
        <f t="shared" si="659"/>
        <v>0</v>
      </c>
      <c r="AB46" s="27">
        <f t="shared" ref="AB46:AB55" si="695">IF((AA46=0),0,Z46/AA46)</f>
        <v>0</v>
      </c>
      <c r="AC46" s="27">
        <f t="shared" ref="AC46:AC55" si="696">AB46*9.04</f>
        <v>0</v>
      </c>
      <c r="AD46" s="66">
        <v>30</v>
      </c>
      <c r="AE46" s="26">
        <f t="shared" si="660"/>
        <v>523</v>
      </c>
      <c r="AF46" s="27">
        <f t="shared" si="600"/>
        <v>5.736137667304015E-2</v>
      </c>
      <c r="AG46" s="27">
        <f t="shared" si="601"/>
        <v>0.51854684512428295</v>
      </c>
      <c r="AH46" s="66">
        <v>9</v>
      </c>
      <c r="AI46" s="26">
        <f t="shared" si="661"/>
        <v>0</v>
      </c>
      <c r="AJ46" s="27">
        <f t="shared" ref="AJ46:AJ55" si="697">IF((AI46=0),0,AH46/AI46)</f>
        <v>0</v>
      </c>
      <c r="AK46" s="27">
        <f t="shared" ref="AK46:AK55" si="698">AJ46*9.04</f>
        <v>0</v>
      </c>
      <c r="AL46" s="66">
        <v>31</v>
      </c>
      <c r="AM46" s="26">
        <f t="shared" si="662"/>
        <v>1004</v>
      </c>
      <c r="AN46" s="27">
        <f t="shared" ref="AN46:AN55" si="699">IF((AM46=0),0,AL46/AM46)</f>
        <v>3.0876494023904383E-2</v>
      </c>
      <c r="AO46" s="27">
        <f t="shared" ref="AO46:AO55" si="700">AN46*9.04</f>
        <v>0.27912350597609559</v>
      </c>
      <c r="AP46" s="66">
        <v>49</v>
      </c>
      <c r="AQ46" s="26">
        <f t="shared" si="663"/>
        <v>1157</v>
      </c>
      <c r="AR46" s="27">
        <f t="shared" ref="AR46:AR55" si="701">IF((AQ46=0),0,AP46/AQ46)</f>
        <v>4.2350907519446847E-2</v>
      </c>
      <c r="AS46" s="27">
        <f t="shared" ref="AS46:AS55" si="702">AR46*9.04</f>
        <v>0.38285220397579944</v>
      </c>
      <c r="AT46" s="66">
        <v>46</v>
      </c>
      <c r="AU46" s="26">
        <f t="shared" si="664"/>
        <v>0</v>
      </c>
      <c r="AV46" s="27">
        <f t="shared" ref="AV46:AV55" si="703">IF((AU46=0),0,AT46/AU46)</f>
        <v>0</v>
      </c>
      <c r="AW46" s="27">
        <f t="shared" ref="AW46:AW55" si="704">AV46*9.04</f>
        <v>0</v>
      </c>
      <c r="AX46" s="66">
        <v>46</v>
      </c>
      <c r="AY46" s="26">
        <f t="shared" si="665"/>
        <v>1046</v>
      </c>
      <c r="AZ46" s="27">
        <f t="shared" ref="AZ46:AZ55" si="705">IF((AY46=0),0,AX46/AY46)</f>
        <v>4.3977055449330782E-2</v>
      </c>
      <c r="BA46" s="27">
        <f t="shared" ref="BA46:BA55" si="706">AZ46*9.04</f>
        <v>0.39755258126195026</v>
      </c>
      <c r="BB46" s="66">
        <v>49</v>
      </c>
      <c r="BC46" s="26">
        <f t="shared" si="666"/>
        <v>0</v>
      </c>
      <c r="BD46" s="27">
        <f t="shared" ref="BD46:BD55" si="707">IF((BC46=0),0,BB46/BC46)</f>
        <v>0</v>
      </c>
      <c r="BE46" s="27">
        <f t="shared" ref="BE46:BE55" si="708">BD46*9.04</f>
        <v>0</v>
      </c>
      <c r="BF46" s="66">
        <v>49</v>
      </c>
      <c r="BG46" s="26">
        <f t="shared" si="667"/>
        <v>744</v>
      </c>
      <c r="BH46" s="27">
        <f t="shared" ref="BH46:BH55" si="709">IF((BG46=0),0,BF46/BG46)</f>
        <v>6.5860215053763438E-2</v>
      </c>
      <c r="BI46" s="27">
        <f t="shared" ref="BI46:BI55" si="710">BH46*9.04</f>
        <v>0.59537634408602147</v>
      </c>
      <c r="BJ46" s="66">
        <v>51</v>
      </c>
      <c r="BK46" s="26">
        <f t="shared" si="668"/>
        <v>1089</v>
      </c>
      <c r="BL46" s="27">
        <f t="shared" ref="BL46:BL55" si="711">IF((BK46=0),0,BJ46/BK46)</f>
        <v>4.6831955922865015E-2</v>
      </c>
      <c r="BM46" s="27">
        <f t="shared" ref="BM46:BM55" si="712">BL46*9.04</f>
        <v>0.42336088154269969</v>
      </c>
      <c r="BN46" s="66">
        <v>50</v>
      </c>
      <c r="BO46" s="26">
        <f t="shared" si="669"/>
        <v>1083</v>
      </c>
      <c r="BP46" s="27">
        <f t="shared" ref="BP46:BP55" si="713">IF((BO46=0),0,BN46/BO46)</f>
        <v>4.6168051708217916E-2</v>
      </c>
      <c r="BQ46" s="27">
        <f t="shared" ref="BQ46:BQ55" si="714">BP46*9.04</f>
        <v>0.41735918744228995</v>
      </c>
      <c r="BR46" s="66">
        <v>46</v>
      </c>
      <c r="BS46" s="26">
        <f t="shared" si="670"/>
        <v>960</v>
      </c>
      <c r="BT46" s="27">
        <f t="shared" ref="BT46:BT55" si="715">IF((BS46=0),0,BR46/BS46)</f>
        <v>4.791666666666667E-2</v>
      </c>
      <c r="BU46" s="27">
        <f t="shared" ref="BU46:BU55" si="716">BT46*9.04</f>
        <v>0.43316666666666664</v>
      </c>
      <c r="BV46" s="66">
        <v>47</v>
      </c>
      <c r="BW46" s="26">
        <f t="shared" si="671"/>
        <v>958</v>
      </c>
      <c r="BX46" s="27">
        <f t="shared" ref="BX46:BX55" si="717">IF((BW46=0),0,BV46/BW46)</f>
        <v>4.9060542797494784E-2</v>
      </c>
      <c r="BY46" s="27">
        <f t="shared" ref="BY46:BY55" si="718">BX46*9.04</f>
        <v>0.4435073068893528</v>
      </c>
      <c r="BZ46" s="66">
        <v>50</v>
      </c>
      <c r="CA46" s="26">
        <f t="shared" si="672"/>
        <v>345</v>
      </c>
      <c r="CB46" s="27">
        <f t="shared" ref="CB46:CB55" si="719">IF((CA46=0),0,BZ46/CA46)</f>
        <v>0.14492753623188406</v>
      </c>
      <c r="CC46" s="27">
        <f t="shared" ref="CC46:CC55" si="720">CB46*9.04</f>
        <v>1.3101449275362318</v>
      </c>
      <c r="CD46" s="66">
        <v>48</v>
      </c>
      <c r="CE46" s="26">
        <f t="shared" si="673"/>
        <v>801</v>
      </c>
      <c r="CF46" s="27">
        <f t="shared" ref="CF46:CF55" si="721">IF((CE46=0),0,CD46/CE46)</f>
        <v>5.9925093632958802E-2</v>
      </c>
      <c r="CG46" s="27">
        <f t="shared" ref="CG46:CG55" si="722">CF46*9.04</f>
        <v>0.54172284644194757</v>
      </c>
      <c r="CH46" s="66">
        <v>49</v>
      </c>
      <c r="CI46" s="26">
        <f t="shared" si="674"/>
        <v>0</v>
      </c>
      <c r="CJ46" s="27">
        <f t="shared" ref="CJ46:CJ55" si="723">IF((CI46=0),0,CH46/CI46)</f>
        <v>0</v>
      </c>
      <c r="CK46" s="27">
        <f t="shared" ref="CK46:CK55" si="724">CJ46*9.04</f>
        <v>0</v>
      </c>
      <c r="CL46" s="62">
        <v>39</v>
      </c>
      <c r="CM46" s="26">
        <f t="shared" si="675"/>
        <v>1235</v>
      </c>
      <c r="CN46" s="27">
        <f t="shared" ref="CN46:CN55" si="725">IF((CM46=0),0,CL46/CM46)</f>
        <v>3.1578947368421054E-2</v>
      </c>
      <c r="CO46" s="27">
        <f t="shared" ref="CO46:CO55" si="726">CN46*9.04</f>
        <v>0.28547368421052632</v>
      </c>
      <c r="CP46" s="8">
        <v>54</v>
      </c>
      <c r="CQ46" s="26">
        <f t="shared" si="676"/>
        <v>1167</v>
      </c>
      <c r="CR46" s="27">
        <f t="shared" ref="CR46:CR55" si="727">IF((CQ46=0),0,CP46/CQ46)</f>
        <v>4.6272493573264781E-2</v>
      </c>
      <c r="CS46" s="27">
        <f t="shared" ref="CS46:CS55" si="728">CR46*9.04</f>
        <v>0.41830334190231355</v>
      </c>
      <c r="CT46" s="8">
        <v>52</v>
      </c>
      <c r="CU46" s="26">
        <f t="shared" si="677"/>
        <v>925</v>
      </c>
      <c r="CV46" s="27">
        <f t="shared" ref="CV46:CV55" si="729">IF((CU46=0),0,CT46/CU46)</f>
        <v>5.6216216216216218E-2</v>
      </c>
      <c r="CW46" s="27">
        <f t="shared" ref="CW46:CW55" si="730">CV46*9.04</f>
        <v>0.5081945945945946</v>
      </c>
      <c r="CX46" s="8">
        <v>45</v>
      </c>
      <c r="CY46" s="26">
        <f t="shared" si="678"/>
        <v>400</v>
      </c>
      <c r="CZ46" s="27">
        <f t="shared" ref="CZ46:CZ55" si="731">IF((CY46=0),0,CX46/CY46)</f>
        <v>0.1125</v>
      </c>
      <c r="DA46" s="27">
        <f t="shared" ref="DA46:DA55" si="732">CZ46*9.04</f>
        <v>1.0169999999999999</v>
      </c>
      <c r="DB46" s="63">
        <v>50</v>
      </c>
      <c r="DC46" s="26">
        <f t="shared" si="679"/>
        <v>517</v>
      </c>
      <c r="DD46" s="27">
        <f t="shared" ref="DD46:DD55" si="733">IF((DC46=0),0,DB46/DC46)</f>
        <v>9.6711798839458407E-2</v>
      </c>
      <c r="DE46" s="27">
        <f t="shared" ref="DE46:DE55" si="734">DD46*9.04</f>
        <v>0.87427466150870392</v>
      </c>
      <c r="DF46" s="8">
        <v>52</v>
      </c>
      <c r="DG46" s="26">
        <f t="shared" si="680"/>
        <v>1125</v>
      </c>
      <c r="DH46" s="27">
        <f t="shared" ref="DH46:DH55" si="735">IF((DG46=0),0,DF46/DG46)</f>
        <v>4.622222222222222E-2</v>
      </c>
      <c r="DI46" s="27">
        <f t="shared" ref="DI46:DI55" si="736">DH46*9.04</f>
        <v>0.41784888888888883</v>
      </c>
      <c r="DJ46" s="8">
        <v>40</v>
      </c>
      <c r="DK46" s="26">
        <f t="shared" si="681"/>
        <v>1063</v>
      </c>
      <c r="DL46" s="27">
        <f t="shared" ref="DL46:DL55" si="737">IF((DK46=0),0,DJ46/DK46)</f>
        <v>3.7629350893697081E-2</v>
      </c>
      <c r="DM46" s="27">
        <f t="shared" ref="DM46:DM55" si="738">DL46*9.04</f>
        <v>0.34016933207902156</v>
      </c>
      <c r="DN46" s="8">
        <v>59</v>
      </c>
      <c r="DO46" s="26">
        <f t="shared" si="682"/>
        <v>764</v>
      </c>
      <c r="DP46" s="27">
        <f t="shared" ref="DP46:DP55" si="739">IF((DO46=0),0,DN46/DO46)</f>
        <v>7.7225130890052354E-2</v>
      </c>
      <c r="DQ46" s="27">
        <f t="shared" ref="DQ46:DQ55" si="740">DP46*9.04</f>
        <v>0.69811518324607325</v>
      </c>
      <c r="DR46" s="8">
        <v>49</v>
      </c>
      <c r="DS46" s="26">
        <f t="shared" si="683"/>
        <v>684</v>
      </c>
      <c r="DT46" s="27">
        <f t="shared" ref="DT46:DT55" si="741">IF((DS46=0),0,DR46/DS46)</f>
        <v>7.1637426900584791E-2</v>
      </c>
      <c r="DU46" s="27">
        <f t="shared" ref="DU46:DU55" si="742">DT46*9.04</f>
        <v>0.6476023391812864</v>
      </c>
      <c r="DV46" s="8"/>
      <c r="DW46" s="26">
        <f t="shared" si="684"/>
        <v>0</v>
      </c>
      <c r="DX46" s="27">
        <f t="shared" si="648"/>
        <v>0</v>
      </c>
      <c r="DY46" s="27">
        <f t="shared" si="649"/>
        <v>0</v>
      </c>
      <c r="DZ46" s="28">
        <f t="shared" si="650"/>
        <v>1336</v>
      </c>
      <c r="EA46" s="28">
        <f t="shared" si="651"/>
        <v>19205</v>
      </c>
      <c r="EB46" s="33">
        <f t="shared" si="652"/>
        <v>6.9565217391304349E-2</v>
      </c>
      <c r="EC46" s="33">
        <f t="shared" si="653"/>
        <v>0.62886956521739124</v>
      </c>
    </row>
    <row r="47" spans="1:273" s="32" customFormat="1" ht="25.5" x14ac:dyDescent="0.35">
      <c r="B47" s="49"/>
      <c r="C47" s="49"/>
      <c r="D47" s="25" t="s">
        <v>310</v>
      </c>
      <c r="E47" s="72"/>
      <c r="F47" s="66">
        <v>0</v>
      </c>
      <c r="G47" s="26">
        <f t="shared" si="654"/>
        <v>0</v>
      </c>
      <c r="H47" s="27">
        <f t="shared" si="685"/>
        <v>0</v>
      </c>
      <c r="I47" s="27">
        <f t="shared" si="686"/>
        <v>0</v>
      </c>
      <c r="J47" s="66">
        <v>0</v>
      </c>
      <c r="K47" s="26">
        <f t="shared" si="655"/>
        <v>0</v>
      </c>
      <c r="L47" s="27">
        <f t="shared" si="687"/>
        <v>0</v>
      </c>
      <c r="M47" s="27">
        <f t="shared" si="688"/>
        <v>0</v>
      </c>
      <c r="N47" s="66">
        <v>0</v>
      </c>
      <c r="O47" s="26">
        <f t="shared" si="656"/>
        <v>597</v>
      </c>
      <c r="P47" s="27">
        <f t="shared" si="689"/>
        <v>0</v>
      </c>
      <c r="Q47" s="27">
        <f t="shared" si="690"/>
        <v>0</v>
      </c>
      <c r="R47" s="66">
        <v>0</v>
      </c>
      <c r="S47" s="26">
        <f t="shared" si="657"/>
        <v>628</v>
      </c>
      <c r="T47" s="27">
        <f t="shared" si="691"/>
        <v>0</v>
      </c>
      <c r="U47" s="27">
        <f t="shared" si="692"/>
        <v>0</v>
      </c>
      <c r="V47" s="66">
        <v>0</v>
      </c>
      <c r="W47" s="26">
        <f t="shared" si="658"/>
        <v>913</v>
      </c>
      <c r="X47" s="27">
        <f t="shared" si="693"/>
        <v>0</v>
      </c>
      <c r="Y47" s="27">
        <f t="shared" si="694"/>
        <v>0</v>
      </c>
      <c r="Z47" s="66">
        <v>0</v>
      </c>
      <c r="AA47" s="26">
        <f t="shared" si="659"/>
        <v>0</v>
      </c>
      <c r="AB47" s="27">
        <f t="shared" si="695"/>
        <v>0</v>
      </c>
      <c r="AC47" s="27">
        <f t="shared" si="696"/>
        <v>0</v>
      </c>
      <c r="AD47" s="66">
        <v>0</v>
      </c>
      <c r="AE47" s="26">
        <f t="shared" si="660"/>
        <v>523</v>
      </c>
      <c r="AF47" s="27">
        <f t="shared" si="600"/>
        <v>0</v>
      </c>
      <c r="AG47" s="27">
        <f t="shared" si="601"/>
        <v>0</v>
      </c>
      <c r="AH47" s="67">
        <v>0</v>
      </c>
      <c r="AI47" s="26">
        <f t="shared" si="661"/>
        <v>0</v>
      </c>
      <c r="AJ47" s="27">
        <f t="shared" si="697"/>
        <v>0</v>
      </c>
      <c r="AK47" s="27">
        <f t="shared" si="698"/>
        <v>0</v>
      </c>
      <c r="AL47" s="67">
        <v>0</v>
      </c>
      <c r="AM47" s="26">
        <f t="shared" si="662"/>
        <v>1004</v>
      </c>
      <c r="AN47" s="27">
        <f t="shared" si="699"/>
        <v>0</v>
      </c>
      <c r="AO47" s="27">
        <f t="shared" si="700"/>
        <v>0</v>
      </c>
      <c r="AP47" s="66">
        <v>1</v>
      </c>
      <c r="AQ47" s="26">
        <f t="shared" si="663"/>
        <v>1157</v>
      </c>
      <c r="AR47" s="27">
        <f t="shared" si="701"/>
        <v>8.6430423509075197E-4</v>
      </c>
      <c r="AS47" s="27">
        <f t="shared" si="702"/>
        <v>7.8133102852203963E-3</v>
      </c>
      <c r="AT47" s="67">
        <v>2</v>
      </c>
      <c r="AU47" s="26">
        <f t="shared" si="664"/>
        <v>0</v>
      </c>
      <c r="AV47" s="27">
        <f t="shared" si="703"/>
        <v>0</v>
      </c>
      <c r="AW47" s="27">
        <f t="shared" si="704"/>
        <v>0</v>
      </c>
      <c r="AX47" s="66">
        <v>0</v>
      </c>
      <c r="AY47" s="26">
        <f t="shared" si="665"/>
        <v>1046</v>
      </c>
      <c r="AZ47" s="27">
        <f t="shared" si="705"/>
        <v>0</v>
      </c>
      <c r="BA47" s="27">
        <f t="shared" si="706"/>
        <v>0</v>
      </c>
      <c r="BB47" s="66">
        <v>0</v>
      </c>
      <c r="BC47" s="26">
        <f t="shared" si="666"/>
        <v>0</v>
      </c>
      <c r="BD47" s="27">
        <f t="shared" si="707"/>
        <v>0</v>
      </c>
      <c r="BE47" s="27">
        <f t="shared" si="708"/>
        <v>0</v>
      </c>
      <c r="BF47" s="66">
        <v>0</v>
      </c>
      <c r="BG47" s="26">
        <f t="shared" si="667"/>
        <v>744</v>
      </c>
      <c r="BH47" s="27">
        <f t="shared" si="709"/>
        <v>0</v>
      </c>
      <c r="BI47" s="27">
        <f t="shared" si="710"/>
        <v>0</v>
      </c>
      <c r="BJ47" s="66">
        <v>0</v>
      </c>
      <c r="BK47" s="26">
        <f t="shared" si="668"/>
        <v>1089</v>
      </c>
      <c r="BL47" s="27">
        <f t="shared" si="711"/>
        <v>0</v>
      </c>
      <c r="BM47" s="27">
        <f t="shared" si="712"/>
        <v>0</v>
      </c>
      <c r="BN47" s="66">
        <v>0</v>
      </c>
      <c r="BO47" s="26">
        <f t="shared" si="669"/>
        <v>1083</v>
      </c>
      <c r="BP47" s="27">
        <f t="shared" si="713"/>
        <v>0</v>
      </c>
      <c r="BQ47" s="27">
        <f t="shared" si="714"/>
        <v>0</v>
      </c>
      <c r="BR47" s="66">
        <v>4</v>
      </c>
      <c r="BS47" s="26">
        <f t="shared" si="670"/>
        <v>960</v>
      </c>
      <c r="BT47" s="27">
        <f t="shared" si="715"/>
        <v>4.1666666666666666E-3</v>
      </c>
      <c r="BU47" s="27">
        <f t="shared" si="716"/>
        <v>3.7666666666666661E-2</v>
      </c>
      <c r="BV47" s="66">
        <v>0</v>
      </c>
      <c r="BW47" s="26">
        <f t="shared" si="671"/>
        <v>958</v>
      </c>
      <c r="BX47" s="27">
        <f t="shared" si="717"/>
        <v>0</v>
      </c>
      <c r="BY47" s="27">
        <f t="shared" si="718"/>
        <v>0</v>
      </c>
      <c r="BZ47" s="66">
        <v>0</v>
      </c>
      <c r="CA47" s="26">
        <f t="shared" si="672"/>
        <v>345</v>
      </c>
      <c r="CB47" s="27">
        <f t="shared" si="719"/>
        <v>0</v>
      </c>
      <c r="CC47" s="27">
        <f t="shared" si="720"/>
        <v>0</v>
      </c>
      <c r="CD47" s="66">
        <v>0</v>
      </c>
      <c r="CE47" s="26">
        <f t="shared" si="673"/>
        <v>801</v>
      </c>
      <c r="CF47" s="27">
        <f t="shared" si="721"/>
        <v>0</v>
      </c>
      <c r="CG47" s="27">
        <f t="shared" si="722"/>
        <v>0</v>
      </c>
      <c r="CH47" s="66">
        <v>0</v>
      </c>
      <c r="CI47" s="26">
        <f t="shared" si="674"/>
        <v>0</v>
      </c>
      <c r="CJ47" s="27">
        <f t="shared" si="723"/>
        <v>0</v>
      </c>
      <c r="CK47" s="27">
        <f t="shared" si="724"/>
        <v>0</v>
      </c>
      <c r="CL47" s="62">
        <v>0</v>
      </c>
      <c r="CM47" s="26">
        <f t="shared" si="675"/>
        <v>1235</v>
      </c>
      <c r="CN47" s="27">
        <f t="shared" si="725"/>
        <v>0</v>
      </c>
      <c r="CO47" s="27">
        <f t="shared" si="726"/>
        <v>0</v>
      </c>
      <c r="CP47" s="8">
        <v>0</v>
      </c>
      <c r="CQ47" s="26">
        <f t="shared" si="676"/>
        <v>1167</v>
      </c>
      <c r="CR47" s="27">
        <f t="shared" si="727"/>
        <v>0</v>
      </c>
      <c r="CS47" s="27">
        <f t="shared" si="728"/>
        <v>0</v>
      </c>
      <c r="CT47" s="8">
        <v>0</v>
      </c>
      <c r="CU47" s="26">
        <f t="shared" si="677"/>
        <v>925</v>
      </c>
      <c r="CV47" s="27">
        <f t="shared" si="729"/>
        <v>0</v>
      </c>
      <c r="CW47" s="27">
        <f t="shared" si="730"/>
        <v>0</v>
      </c>
      <c r="CX47" s="8">
        <v>0</v>
      </c>
      <c r="CY47" s="26">
        <f t="shared" si="678"/>
        <v>400</v>
      </c>
      <c r="CZ47" s="27">
        <f t="shared" si="731"/>
        <v>0</v>
      </c>
      <c r="DA47" s="27">
        <f t="shared" si="732"/>
        <v>0</v>
      </c>
      <c r="DB47" s="63">
        <v>0</v>
      </c>
      <c r="DC47" s="26">
        <f t="shared" si="679"/>
        <v>517</v>
      </c>
      <c r="DD47" s="27">
        <f t="shared" si="733"/>
        <v>0</v>
      </c>
      <c r="DE47" s="27">
        <f t="shared" si="734"/>
        <v>0</v>
      </c>
      <c r="DF47" s="8">
        <v>0</v>
      </c>
      <c r="DG47" s="26">
        <f t="shared" si="680"/>
        <v>1125</v>
      </c>
      <c r="DH47" s="27">
        <f t="shared" si="735"/>
        <v>0</v>
      </c>
      <c r="DI47" s="27">
        <f t="shared" si="736"/>
        <v>0</v>
      </c>
      <c r="DJ47" s="8">
        <v>0</v>
      </c>
      <c r="DK47" s="26">
        <f t="shared" si="681"/>
        <v>1063</v>
      </c>
      <c r="DL47" s="27">
        <f t="shared" si="737"/>
        <v>0</v>
      </c>
      <c r="DM47" s="27">
        <f t="shared" si="738"/>
        <v>0</v>
      </c>
      <c r="DN47" s="8">
        <v>1</v>
      </c>
      <c r="DO47" s="26">
        <f t="shared" si="682"/>
        <v>764</v>
      </c>
      <c r="DP47" s="27">
        <f t="shared" si="739"/>
        <v>1.3089005235602095E-3</v>
      </c>
      <c r="DQ47" s="27">
        <f t="shared" si="740"/>
        <v>1.1832460732984293E-2</v>
      </c>
      <c r="DR47" s="8">
        <v>0</v>
      </c>
      <c r="DS47" s="26">
        <f t="shared" si="683"/>
        <v>684</v>
      </c>
      <c r="DT47" s="27">
        <f t="shared" si="741"/>
        <v>0</v>
      </c>
      <c r="DU47" s="27">
        <f t="shared" si="742"/>
        <v>0</v>
      </c>
      <c r="DV47" s="8"/>
      <c r="DW47" s="26">
        <f t="shared" si="684"/>
        <v>0</v>
      </c>
      <c r="DX47" s="27">
        <f t="shared" si="648"/>
        <v>0</v>
      </c>
      <c r="DY47" s="27">
        <f t="shared" si="649"/>
        <v>0</v>
      </c>
      <c r="DZ47" s="28">
        <f t="shared" si="650"/>
        <v>8</v>
      </c>
      <c r="EA47" s="28">
        <f t="shared" si="651"/>
        <v>19205</v>
      </c>
      <c r="EB47" s="33">
        <f t="shared" si="652"/>
        <v>4.1655818797188234E-4</v>
      </c>
      <c r="EC47" s="33">
        <f t="shared" si="653"/>
        <v>3.7656860192658158E-3</v>
      </c>
    </row>
    <row r="48" spans="1:273" s="32" customFormat="1" ht="25.5" x14ac:dyDescent="0.35">
      <c r="B48" s="49"/>
      <c r="C48" s="49"/>
      <c r="D48" s="25" t="s">
        <v>316</v>
      </c>
      <c r="E48" s="72"/>
      <c r="F48" s="67">
        <v>79</v>
      </c>
      <c r="G48" s="26">
        <f t="shared" si="654"/>
        <v>0</v>
      </c>
      <c r="H48" s="27">
        <f t="shared" si="685"/>
        <v>0</v>
      </c>
      <c r="I48" s="27">
        <f t="shared" si="686"/>
        <v>0</v>
      </c>
      <c r="J48" s="67">
        <v>110</v>
      </c>
      <c r="K48" s="26">
        <f t="shared" si="655"/>
        <v>0</v>
      </c>
      <c r="L48" s="27">
        <f t="shared" si="687"/>
        <v>0</v>
      </c>
      <c r="M48" s="27">
        <f t="shared" si="688"/>
        <v>0</v>
      </c>
      <c r="N48" s="67">
        <v>146</v>
      </c>
      <c r="O48" s="26">
        <f t="shared" si="656"/>
        <v>597</v>
      </c>
      <c r="P48" s="27">
        <f t="shared" si="689"/>
        <v>0.24455611390284757</v>
      </c>
      <c r="Q48" s="27">
        <f t="shared" si="690"/>
        <v>2.2107872696817417</v>
      </c>
      <c r="R48" s="67">
        <v>152</v>
      </c>
      <c r="S48" s="26">
        <f t="shared" si="657"/>
        <v>628</v>
      </c>
      <c r="T48" s="27">
        <f t="shared" si="691"/>
        <v>0.24203821656050956</v>
      </c>
      <c r="U48" s="27">
        <f t="shared" si="692"/>
        <v>2.1880254777070061</v>
      </c>
      <c r="V48" s="67">
        <v>145</v>
      </c>
      <c r="W48" s="26">
        <f t="shared" si="658"/>
        <v>913</v>
      </c>
      <c r="X48" s="27">
        <f t="shared" si="693"/>
        <v>0.15881708652792989</v>
      </c>
      <c r="Y48" s="27">
        <f t="shared" si="694"/>
        <v>1.435706462212486</v>
      </c>
      <c r="Z48" s="67">
        <v>65</v>
      </c>
      <c r="AA48" s="26">
        <f t="shared" si="659"/>
        <v>0</v>
      </c>
      <c r="AB48" s="27">
        <f t="shared" si="695"/>
        <v>0</v>
      </c>
      <c r="AC48" s="27">
        <f t="shared" si="696"/>
        <v>0</v>
      </c>
      <c r="AD48" s="67">
        <v>69</v>
      </c>
      <c r="AE48" s="26">
        <f t="shared" si="660"/>
        <v>523</v>
      </c>
      <c r="AF48" s="27">
        <f t="shared" si="600"/>
        <v>0.13193116634799235</v>
      </c>
      <c r="AG48" s="27">
        <f t="shared" si="601"/>
        <v>1.1926577437858508</v>
      </c>
      <c r="AH48" s="67">
        <v>139</v>
      </c>
      <c r="AI48" s="26">
        <f t="shared" si="661"/>
        <v>0</v>
      </c>
      <c r="AJ48" s="27">
        <f t="shared" si="697"/>
        <v>0</v>
      </c>
      <c r="AK48" s="27">
        <f t="shared" si="698"/>
        <v>0</v>
      </c>
      <c r="AL48" s="67">
        <v>141</v>
      </c>
      <c r="AM48" s="26">
        <f t="shared" si="662"/>
        <v>1004</v>
      </c>
      <c r="AN48" s="27">
        <f t="shared" si="699"/>
        <v>0.14043824701195218</v>
      </c>
      <c r="AO48" s="27">
        <f t="shared" si="700"/>
        <v>1.2695617529880476</v>
      </c>
      <c r="AP48" s="66">
        <v>136</v>
      </c>
      <c r="AQ48" s="26">
        <f t="shared" si="663"/>
        <v>1157</v>
      </c>
      <c r="AR48" s="27">
        <f t="shared" si="701"/>
        <v>0.11754537597234227</v>
      </c>
      <c r="AS48" s="27">
        <f t="shared" si="702"/>
        <v>1.0626101987899741</v>
      </c>
      <c r="AT48" s="67">
        <v>135</v>
      </c>
      <c r="AU48" s="26">
        <f t="shared" si="664"/>
        <v>0</v>
      </c>
      <c r="AV48" s="27">
        <f t="shared" si="703"/>
        <v>0</v>
      </c>
      <c r="AW48" s="27">
        <f t="shared" si="704"/>
        <v>0</v>
      </c>
      <c r="AX48" s="66">
        <v>146</v>
      </c>
      <c r="AY48" s="26">
        <f t="shared" si="665"/>
        <v>1046</v>
      </c>
      <c r="AZ48" s="27">
        <f t="shared" si="705"/>
        <v>0.13957934990439771</v>
      </c>
      <c r="BA48" s="27">
        <f t="shared" si="706"/>
        <v>1.2617973231357553</v>
      </c>
      <c r="BB48" s="66">
        <v>109</v>
      </c>
      <c r="BC48" s="26">
        <f t="shared" si="666"/>
        <v>0</v>
      </c>
      <c r="BD48" s="27">
        <f t="shared" si="707"/>
        <v>0</v>
      </c>
      <c r="BE48" s="27">
        <f t="shared" si="708"/>
        <v>0</v>
      </c>
      <c r="BF48" s="66">
        <v>125</v>
      </c>
      <c r="BG48" s="26">
        <f t="shared" si="667"/>
        <v>744</v>
      </c>
      <c r="BH48" s="27">
        <f t="shared" si="709"/>
        <v>0.16801075268817203</v>
      </c>
      <c r="BI48" s="27">
        <f t="shared" si="710"/>
        <v>1.518817204301075</v>
      </c>
      <c r="BJ48" s="66">
        <v>136</v>
      </c>
      <c r="BK48" s="26">
        <f t="shared" si="668"/>
        <v>1089</v>
      </c>
      <c r="BL48" s="27">
        <f t="shared" si="711"/>
        <v>0.1248852157943067</v>
      </c>
      <c r="BM48" s="27">
        <f t="shared" si="712"/>
        <v>1.1289623507805324</v>
      </c>
      <c r="BN48" s="66">
        <v>159</v>
      </c>
      <c r="BO48" s="26">
        <f t="shared" si="669"/>
        <v>1083</v>
      </c>
      <c r="BP48" s="27">
        <f t="shared" si="713"/>
        <v>0.14681440443213298</v>
      </c>
      <c r="BQ48" s="27">
        <f t="shared" si="714"/>
        <v>1.327202216066482</v>
      </c>
      <c r="BR48" s="67">
        <v>141</v>
      </c>
      <c r="BS48" s="26">
        <f t="shared" si="670"/>
        <v>960</v>
      </c>
      <c r="BT48" s="27">
        <f t="shared" si="715"/>
        <v>0.14687500000000001</v>
      </c>
      <c r="BU48" s="27">
        <f t="shared" si="716"/>
        <v>1.32775</v>
      </c>
      <c r="BV48" s="66">
        <v>156</v>
      </c>
      <c r="BW48" s="26">
        <f t="shared" si="671"/>
        <v>958</v>
      </c>
      <c r="BX48" s="27">
        <f t="shared" si="717"/>
        <v>0.162839248434238</v>
      </c>
      <c r="BY48" s="27">
        <f t="shared" si="718"/>
        <v>1.4720668058455113</v>
      </c>
      <c r="BZ48" s="66">
        <v>144</v>
      </c>
      <c r="CA48" s="26">
        <f t="shared" si="672"/>
        <v>345</v>
      </c>
      <c r="CB48" s="27">
        <f t="shared" si="719"/>
        <v>0.41739130434782606</v>
      </c>
      <c r="CC48" s="27">
        <f t="shared" si="720"/>
        <v>3.7732173913043474</v>
      </c>
      <c r="CD48" s="66">
        <v>179</v>
      </c>
      <c r="CE48" s="26">
        <f t="shared" si="673"/>
        <v>801</v>
      </c>
      <c r="CF48" s="27">
        <f t="shared" si="721"/>
        <v>0.22347066167290885</v>
      </c>
      <c r="CG48" s="27">
        <f t="shared" si="722"/>
        <v>2.0201747815230959</v>
      </c>
      <c r="CH48" s="66">
        <v>77</v>
      </c>
      <c r="CI48" s="26">
        <f t="shared" si="674"/>
        <v>0</v>
      </c>
      <c r="CJ48" s="27">
        <f t="shared" si="723"/>
        <v>0</v>
      </c>
      <c r="CK48" s="27">
        <f t="shared" si="724"/>
        <v>0</v>
      </c>
      <c r="CL48" s="62">
        <v>158</v>
      </c>
      <c r="CM48" s="26">
        <f t="shared" si="675"/>
        <v>1235</v>
      </c>
      <c r="CN48" s="27">
        <f t="shared" si="725"/>
        <v>0.12793522267206478</v>
      </c>
      <c r="CO48" s="27">
        <f t="shared" si="726"/>
        <v>1.1565344129554656</v>
      </c>
      <c r="CP48" s="8">
        <v>175</v>
      </c>
      <c r="CQ48" s="26">
        <f t="shared" si="676"/>
        <v>1167</v>
      </c>
      <c r="CR48" s="27">
        <f t="shared" si="727"/>
        <v>0.14995715509854327</v>
      </c>
      <c r="CS48" s="27">
        <f t="shared" si="728"/>
        <v>1.355612682090831</v>
      </c>
      <c r="CT48" s="8">
        <v>165</v>
      </c>
      <c r="CU48" s="26">
        <f t="shared" si="677"/>
        <v>925</v>
      </c>
      <c r="CV48" s="27">
        <f t="shared" si="729"/>
        <v>0.17837837837837839</v>
      </c>
      <c r="CW48" s="27">
        <f t="shared" si="730"/>
        <v>1.6125405405405404</v>
      </c>
      <c r="CX48" s="8">
        <v>174</v>
      </c>
      <c r="CY48" s="26">
        <f t="shared" si="678"/>
        <v>400</v>
      </c>
      <c r="CZ48" s="27">
        <f t="shared" si="731"/>
        <v>0.435</v>
      </c>
      <c r="DA48" s="27">
        <f t="shared" si="732"/>
        <v>3.9323999999999995</v>
      </c>
      <c r="DB48" s="63">
        <v>178</v>
      </c>
      <c r="DC48" s="26">
        <f t="shared" si="679"/>
        <v>517</v>
      </c>
      <c r="DD48" s="27">
        <f t="shared" si="733"/>
        <v>0.34429400386847198</v>
      </c>
      <c r="DE48" s="27">
        <f t="shared" si="734"/>
        <v>3.1124177949709866</v>
      </c>
      <c r="DF48" s="8">
        <v>188</v>
      </c>
      <c r="DG48" s="26">
        <f t="shared" si="680"/>
        <v>1125</v>
      </c>
      <c r="DH48" s="27">
        <f t="shared" si="735"/>
        <v>0.1671111111111111</v>
      </c>
      <c r="DI48" s="27">
        <f t="shared" si="736"/>
        <v>1.5106844444444443</v>
      </c>
      <c r="DJ48" s="8">
        <v>165</v>
      </c>
      <c r="DK48" s="26">
        <f t="shared" si="681"/>
        <v>1063</v>
      </c>
      <c r="DL48" s="27">
        <f t="shared" si="737"/>
        <v>0.15522107243650046</v>
      </c>
      <c r="DM48" s="27">
        <f t="shared" si="738"/>
        <v>1.4031984948259641</v>
      </c>
      <c r="DN48" s="8">
        <v>184</v>
      </c>
      <c r="DO48" s="26">
        <f t="shared" si="682"/>
        <v>764</v>
      </c>
      <c r="DP48" s="27">
        <f t="shared" si="739"/>
        <v>0.24083769633507854</v>
      </c>
      <c r="DQ48" s="27">
        <f t="shared" si="740"/>
        <v>2.1771727748691099</v>
      </c>
      <c r="DR48" s="8">
        <v>185</v>
      </c>
      <c r="DS48" s="26">
        <f t="shared" si="683"/>
        <v>684</v>
      </c>
      <c r="DT48" s="27">
        <f t="shared" si="741"/>
        <v>0.27046783625730997</v>
      </c>
      <c r="DU48" s="27">
        <f t="shared" si="742"/>
        <v>2.445029239766082</v>
      </c>
      <c r="DV48" s="8"/>
      <c r="DW48" s="26">
        <f t="shared" si="684"/>
        <v>0</v>
      </c>
      <c r="DX48" s="27">
        <f t="shared" si="648"/>
        <v>0</v>
      </c>
      <c r="DY48" s="27">
        <f t="shared" si="649"/>
        <v>0</v>
      </c>
      <c r="DZ48" s="28">
        <f t="shared" si="650"/>
        <v>4261</v>
      </c>
      <c r="EA48" s="28">
        <f t="shared" si="651"/>
        <v>19205</v>
      </c>
      <c r="EB48" s="33">
        <f t="shared" si="652"/>
        <v>0.22186930486852383</v>
      </c>
      <c r="EC48" s="33">
        <f t="shared" si="653"/>
        <v>2.0056985160114551</v>
      </c>
    </row>
    <row r="49" spans="2:133" s="32" customFormat="1" ht="25.5" x14ac:dyDescent="0.35">
      <c r="B49" s="49"/>
      <c r="C49" s="49"/>
      <c r="D49" s="25" t="s">
        <v>317</v>
      </c>
      <c r="E49" s="72"/>
      <c r="F49" s="67">
        <v>0</v>
      </c>
      <c r="G49" s="26">
        <f t="shared" si="654"/>
        <v>0</v>
      </c>
      <c r="H49" s="27">
        <f t="shared" si="685"/>
        <v>0</v>
      </c>
      <c r="I49" s="27">
        <f t="shared" si="686"/>
        <v>0</v>
      </c>
      <c r="J49" s="67">
        <v>0</v>
      </c>
      <c r="K49" s="26">
        <f t="shared" si="655"/>
        <v>0</v>
      </c>
      <c r="L49" s="27">
        <f t="shared" si="687"/>
        <v>0</v>
      </c>
      <c r="M49" s="27">
        <f t="shared" si="688"/>
        <v>0</v>
      </c>
      <c r="N49" s="67">
        <v>0</v>
      </c>
      <c r="O49" s="26">
        <f t="shared" si="656"/>
        <v>597</v>
      </c>
      <c r="P49" s="27">
        <f t="shared" si="689"/>
        <v>0</v>
      </c>
      <c r="Q49" s="27">
        <f t="shared" si="690"/>
        <v>0</v>
      </c>
      <c r="R49" s="67">
        <v>0</v>
      </c>
      <c r="S49" s="26">
        <f t="shared" si="657"/>
        <v>628</v>
      </c>
      <c r="T49" s="27">
        <f t="shared" si="691"/>
        <v>0</v>
      </c>
      <c r="U49" s="27">
        <f t="shared" si="692"/>
        <v>0</v>
      </c>
      <c r="V49" s="67">
        <v>0</v>
      </c>
      <c r="W49" s="26">
        <f t="shared" si="658"/>
        <v>913</v>
      </c>
      <c r="X49" s="27">
        <f t="shared" si="693"/>
        <v>0</v>
      </c>
      <c r="Y49" s="27">
        <f t="shared" si="694"/>
        <v>0</v>
      </c>
      <c r="Z49" s="67">
        <v>0</v>
      </c>
      <c r="AA49" s="26">
        <f t="shared" si="659"/>
        <v>0</v>
      </c>
      <c r="AB49" s="27">
        <f t="shared" si="695"/>
        <v>0</v>
      </c>
      <c r="AC49" s="27">
        <f t="shared" si="696"/>
        <v>0</v>
      </c>
      <c r="AD49" s="67">
        <v>0</v>
      </c>
      <c r="AE49" s="26">
        <f t="shared" si="660"/>
        <v>523</v>
      </c>
      <c r="AF49" s="27">
        <f t="shared" si="600"/>
        <v>0</v>
      </c>
      <c r="AG49" s="27">
        <f t="shared" si="601"/>
        <v>0</v>
      </c>
      <c r="AH49" s="67">
        <v>0</v>
      </c>
      <c r="AI49" s="26">
        <f t="shared" si="661"/>
        <v>0</v>
      </c>
      <c r="AJ49" s="27">
        <f t="shared" si="697"/>
        <v>0</v>
      </c>
      <c r="AK49" s="27">
        <f t="shared" si="698"/>
        <v>0</v>
      </c>
      <c r="AL49" s="67">
        <v>0</v>
      </c>
      <c r="AM49" s="26">
        <f t="shared" si="662"/>
        <v>1004</v>
      </c>
      <c r="AN49" s="27">
        <f t="shared" si="699"/>
        <v>0</v>
      </c>
      <c r="AO49" s="27">
        <f t="shared" si="700"/>
        <v>0</v>
      </c>
      <c r="AP49" s="66">
        <v>0</v>
      </c>
      <c r="AQ49" s="26">
        <f t="shared" si="663"/>
        <v>1157</v>
      </c>
      <c r="AR49" s="27">
        <f t="shared" si="701"/>
        <v>0</v>
      </c>
      <c r="AS49" s="27">
        <f t="shared" si="702"/>
        <v>0</v>
      </c>
      <c r="AT49" s="67">
        <v>0</v>
      </c>
      <c r="AU49" s="26">
        <f t="shared" si="664"/>
        <v>0</v>
      </c>
      <c r="AV49" s="27">
        <f t="shared" si="703"/>
        <v>0</v>
      </c>
      <c r="AW49" s="27">
        <f t="shared" si="704"/>
        <v>0</v>
      </c>
      <c r="AX49" s="66">
        <v>0</v>
      </c>
      <c r="AY49" s="26">
        <f t="shared" si="665"/>
        <v>1046</v>
      </c>
      <c r="AZ49" s="27">
        <f t="shared" si="705"/>
        <v>0</v>
      </c>
      <c r="BA49" s="27">
        <f t="shared" si="706"/>
        <v>0</v>
      </c>
      <c r="BB49" s="66">
        <v>0</v>
      </c>
      <c r="BC49" s="26">
        <f t="shared" si="666"/>
        <v>0</v>
      </c>
      <c r="BD49" s="27">
        <f t="shared" si="707"/>
        <v>0</v>
      </c>
      <c r="BE49" s="27">
        <f t="shared" si="708"/>
        <v>0</v>
      </c>
      <c r="BF49" s="66">
        <v>0</v>
      </c>
      <c r="BG49" s="26">
        <f t="shared" si="667"/>
        <v>744</v>
      </c>
      <c r="BH49" s="27">
        <f t="shared" si="709"/>
        <v>0</v>
      </c>
      <c r="BI49" s="27">
        <f t="shared" si="710"/>
        <v>0</v>
      </c>
      <c r="BJ49" s="66">
        <v>0</v>
      </c>
      <c r="BK49" s="26">
        <f t="shared" si="668"/>
        <v>1089</v>
      </c>
      <c r="BL49" s="27">
        <f t="shared" si="711"/>
        <v>0</v>
      </c>
      <c r="BM49" s="27">
        <f t="shared" si="712"/>
        <v>0</v>
      </c>
      <c r="BN49" s="66">
        <v>0</v>
      </c>
      <c r="BO49" s="26">
        <f t="shared" si="669"/>
        <v>1083</v>
      </c>
      <c r="BP49" s="27">
        <f t="shared" si="713"/>
        <v>0</v>
      </c>
      <c r="BQ49" s="27">
        <f t="shared" si="714"/>
        <v>0</v>
      </c>
      <c r="BR49" s="67">
        <v>0</v>
      </c>
      <c r="BS49" s="26">
        <f t="shared" si="670"/>
        <v>960</v>
      </c>
      <c r="BT49" s="27">
        <f t="shared" si="715"/>
        <v>0</v>
      </c>
      <c r="BU49" s="27">
        <f t="shared" si="716"/>
        <v>0</v>
      </c>
      <c r="BV49" s="66"/>
      <c r="BW49" s="26">
        <f t="shared" si="671"/>
        <v>958</v>
      </c>
      <c r="BX49" s="27">
        <f t="shared" si="717"/>
        <v>0</v>
      </c>
      <c r="BY49" s="27">
        <f t="shared" si="718"/>
        <v>0</v>
      </c>
      <c r="BZ49" s="66">
        <v>0</v>
      </c>
      <c r="CA49" s="26">
        <f t="shared" si="672"/>
        <v>345</v>
      </c>
      <c r="CB49" s="27">
        <f t="shared" si="719"/>
        <v>0</v>
      </c>
      <c r="CC49" s="27">
        <f t="shared" si="720"/>
        <v>0</v>
      </c>
      <c r="CD49" s="66">
        <v>0</v>
      </c>
      <c r="CE49" s="26">
        <f t="shared" si="673"/>
        <v>801</v>
      </c>
      <c r="CF49" s="27">
        <f t="shared" si="721"/>
        <v>0</v>
      </c>
      <c r="CG49" s="27">
        <f t="shared" si="722"/>
        <v>0</v>
      </c>
      <c r="CH49" s="66">
        <v>0</v>
      </c>
      <c r="CI49" s="26">
        <f t="shared" si="674"/>
        <v>0</v>
      </c>
      <c r="CJ49" s="27">
        <f t="shared" si="723"/>
        <v>0</v>
      </c>
      <c r="CK49" s="27">
        <f t="shared" si="724"/>
        <v>0</v>
      </c>
      <c r="CL49" s="62">
        <v>0</v>
      </c>
      <c r="CM49" s="26">
        <f t="shared" si="675"/>
        <v>1235</v>
      </c>
      <c r="CN49" s="27">
        <f t="shared" si="725"/>
        <v>0</v>
      </c>
      <c r="CO49" s="27">
        <f t="shared" si="726"/>
        <v>0</v>
      </c>
      <c r="CP49" s="8">
        <v>0</v>
      </c>
      <c r="CQ49" s="26">
        <f t="shared" si="676"/>
        <v>1167</v>
      </c>
      <c r="CR49" s="27">
        <f t="shared" si="727"/>
        <v>0</v>
      </c>
      <c r="CS49" s="27">
        <f t="shared" si="728"/>
        <v>0</v>
      </c>
      <c r="CT49" s="8">
        <v>0</v>
      </c>
      <c r="CU49" s="26">
        <f t="shared" si="677"/>
        <v>925</v>
      </c>
      <c r="CV49" s="27">
        <f t="shared" si="729"/>
        <v>0</v>
      </c>
      <c r="CW49" s="27">
        <f t="shared" si="730"/>
        <v>0</v>
      </c>
      <c r="CX49" s="8">
        <v>0</v>
      </c>
      <c r="CY49" s="26">
        <f t="shared" si="678"/>
        <v>400</v>
      </c>
      <c r="CZ49" s="27">
        <f t="shared" si="731"/>
        <v>0</v>
      </c>
      <c r="DA49" s="27">
        <f t="shared" si="732"/>
        <v>0</v>
      </c>
      <c r="DB49" s="63">
        <v>0</v>
      </c>
      <c r="DC49" s="26">
        <f t="shared" si="679"/>
        <v>517</v>
      </c>
      <c r="DD49" s="27">
        <f t="shared" si="733"/>
        <v>0</v>
      </c>
      <c r="DE49" s="27">
        <f t="shared" si="734"/>
        <v>0</v>
      </c>
      <c r="DF49" s="8">
        <v>0</v>
      </c>
      <c r="DG49" s="26">
        <f t="shared" si="680"/>
        <v>1125</v>
      </c>
      <c r="DH49" s="27">
        <f t="shared" si="735"/>
        <v>0</v>
      </c>
      <c r="DI49" s="27">
        <f t="shared" si="736"/>
        <v>0</v>
      </c>
      <c r="DJ49" s="8">
        <v>0</v>
      </c>
      <c r="DK49" s="26">
        <f t="shared" si="681"/>
        <v>1063</v>
      </c>
      <c r="DL49" s="27">
        <f t="shared" si="737"/>
        <v>0</v>
      </c>
      <c r="DM49" s="27">
        <f t="shared" si="738"/>
        <v>0</v>
      </c>
      <c r="DN49" s="8">
        <v>0</v>
      </c>
      <c r="DO49" s="26">
        <f t="shared" si="682"/>
        <v>764</v>
      </c>
      <c r="DP49" s="27">
        <f t="shared" si="739"/>
        <v>0</v>
      </c>
      <c r="DQ49" s="27">
        <f t="shared" si="740"/>
        <v>0</v>
      </c>
      <c r="DR49" s="8">
        <v>0</v>
      </c>
      <c r="DS49" s="26">
        <f t="shared" si="683"/>
        <v>684</v>
      </c>
      <c r="DT49" s="27">
        <f t="shared" si="741"/>
        <v>0</v>
      </c>
      <c r="DU49" s="27">
        <f t="shared" si="742"/>
        <v>0</v>
      </c>
      <c r="DV49" s="8"/>
      <c r="DW49" s="26">
        <f t="shared" si="684"/>
        <v>0</v>
      </c>
      <c r="DX49" s="27">
        <f t="shared" si="648"/>
        <v>0</v>
      </c>
      <c r="DY49" s="27">
        <f t="shared" si="649"/>
        <v>0</v>
      </c>
      <c r="DZ49" s="28">
        <f t="shared" si="650"/>
        <v>0</v>
      </c>
      <c r="EA49" s="28">
        <f t="shared" si="651"/>
        <v>19205</v>
      </c>
      <c r="EB49" s="33">
        <f t="shared" si="652"/>
        <v>0</v>
      </c>
      <c r="EC49" s="33">
        <f t="shared" si="653"/>
        <v>0</v>
      </c>
    </row>
    <row r="50" spans="2:133" s="32" customFormat="1" ht="31.5" x14ac:dyDescent="0.35">
      <c r="B50" s="49"/>
      <c r="C50" s="49"/>
      <c r="D50" s="25" t="s">
        <v>318</v>
      </c>
      <c r="E50" s="72"/>
      <c r="F50" s="66">
        <v>20</v>
      </c>
      <c r="G50" s="26">
        <f t="shared" si="654"/>
        <v>0</v>
      </c>
      <c r="H50" s="27">
        <f t="shared" si="685"/>
        <v>0</v>
      </c>
      <c r="I50" s="27">
        <f t="shared" si="686"/>
        <v>0</v>
      </c>
      <c r="J50" s="66">
        <v>47</v>
      </c>
      <c r="K50" s="26">
        <f t="shared" si="655"/>
        <v>0</v>
      </c>
      <c r="L50" s="27">
        <f t="shared" si="687"/>
        <v>0</v>
      </c>
      <c r="M50" s="27">
        <f t="shared" si="688"/>
        <v>0</v>
      </c>
      <c r="N50" s="67">
        <v>42</v>
      </c>
      <c r="O50" s="26">
        <f t="shared" si="656"/>
        <v>597</v>
      </c>
      <c r="P50" s="27">
        <f t="shared" si="689"/>
        <v>7.0351758793969849E-2</v>
      </c>
      <c r="Q50" s="27">
        <f t="shared" si="690"/>
        <v>0.63597989949748734</v>
      </c>
      <c r="R50" s="67">
        <v>42</v>
      </c>
      <c r="S50" s="26">
        <f t="shared" si="657"/>
        <v>628</v>
      </c>
      <c r="T50" s="27">
        <f t="shared" si="691"/>
        <v>6.6878980891719744E-2</v>
      </c>
      <c r="U50" s="27">
        <f t="shared" si="692"/>
        <v>0.60458598726114643</v>
      </c>
      <c r="V50" s="67">
        <v>41</v>
      </c>
      <c r="W50" s="26">
        <f t="shared" si="658"/>
        <v>913</v>
      </c>
      <c r="X50" s="27">
        <f t="shared" si="693"/>
        <v>4.4906900328587074E-2</v>
      </c>
      <c r="Y50" s="27">
        <f t="shared" si="694"/>
        <v>0.40595837897042714</v>
      </c>
      <c r="Z50" s="67">
        <v>15</v>
      </c>
      <c r="AA50" s="26">
        <f t="shared" si="659"/>
        <v>0</v>
      </c>
      <c r="AB50" s="27">
        <f t="shared" si="695"/>
        <v>0</v>
      </c>
      <c r="AC50" s="27">
        <f t="shared" si="696"/>
        <v>0</v>
      </c>
      <c r="AD50" s="67">
        <v>35</v>
      </c>
      <c r="AE50" s="26">
        <f t="shared" si="660"/>
        <v>523</v>
      </c>
      <c r="AF50" s="27">
        <f t="shared" si="600"/>
        <v>6.6921606118546847E-2</v>
      </c>
      <c r="AG50" s="27">
        <f t="shared" si="601"/>
        <v>0.60497131931166348</v>
      </c>
      <c r="AH50" s="66">
        <v>46</v>
      </c>
      <c r="AI50" s="26">
        <f t="shared" si="661"/>
        <v>0</v>
      </c>
      <c r="AJ50" s="27">
        <f t="shared" si="697"/>
        <v>0</v>
      </c>
      <c r="AK50" s="27">
        <f t="shared" si="698"/>
        <v>0</v>
      </c>
      <c r="AL50" s="66">
        <v>54</v>
      </c>
      <c r="AM50" s="26">
        <f t="shared" si="662"/>
        <v>1004</v>
      </c>
      <c r="AN50" s="27">
        <f t="shared" si="699"/>
        <v>5.3784860557768925E-2</v>
      </c>
      <c r="AO50" s="27">
        <f t="shared" si="700"/>
        <v>0.48621513944223105</v>
      </c>
      <c r="AP50" s="66">
        <v>56</v>
      </c>
      <c r="AQ50" s="26">
        <f t="shared" si="663"/>
        <v>1157</v>
      </c>
      <c r="AR50" s="27">
        <f t="shared" si="701"/>
        <v>4.8401037165082109E-2</v>
      </c>
      <c r="AS50" s="27">
        <f t="shared" si="702"/>
        <v>0.43754537597234222</v>
      </c>
      <c r="AT50" s="66">
        <v>48</v>
      </c>
      <c r="AU50" s="26">
        <f t="shared" si="664"/>
        <v>0</v>
      </c>
      <c r="AV50" s="27">
        <f t="shared" si="703"/>
        <v>0</v>
      </c>
      <c r="AW50" s="27">
        <f t="shared" si="704"/>
        <v>0</v>
      </c>
      <c r="AX50" s="66">
        <v>44</v>
      </c>
      <c r="AY50" s="26">
        <f t="shared" si="665"/>
        <v>1046</v>
      </c>
      <c r="AZ50" s="27">
        <f t="shared" si="705"/>
        <v>4.2065009560229447E-2</v>
      </c>
      <c r="BA50" s="27">
        <f t="shared" si="706"/>
        <v>0.38026768642447417</v>
      </c>
      <c r="BB50" s="66">
        <v>47</v>
      </c>
      <c r="BC50" s="26">
        <f t="shared" si="666"/>
        <v>0</v>
      </c>
      <c r="BD50" s="27">
        <f t="shared" si="707"/>
        <v>0</v>
      </c>
      <c r="BE50" s="27">
        <f t="shared" si="708"/>
        <v>0</v>
      </c>
      <c r="BF50" s="66">
        <v>31</v>
      </c>
      <c r="BG50" s="26">
        <f t="shared" si="667"/>
        <v>744</v>
      </c>
      <c r="BH50" s="27">
        <f t="shared" si="709"/>
        <v>4.1666666666666664E-2</v>
      </c>
      <c r="BI50" s="27">
        <f t="shared" si="710"/>
        <v>0.37666666666666659</v>
      </c>
      <c r="BJ50" s="66">
        <v>46</v>
      </c>
      <c r="BK50" s="26">
        <f t="shared" si="668"/>
        <v>1089</v>
      </c>
      <c r="BL50" s="27">
        <f t="shared" si="711"/>
        <v>4.2240587695133149E-2</v>
      </c>
      <c r="BM50" s="27">
        <f t="shared" si="712"/>
        <v>0.38185491276400363</v>
      </c>
      <c r="BN50" s="66">
        <v>45</v>
      </c>
      <c r="BO50" s="26">
        <f t="shared" si="669"/>
        <v>1083</v>
      </c>
      <c r="BP50" s="27">
        <f t="shared" si="713"/>
        <v>4.1551246537396121E-2</v>
      </c>
      <c r="BQ50" s="27">
        <f t="shared" si="714"/>
        <v>0.3756232686980609</v>
      </c>
      <c r="BR50" s="66">
        <v>42</v>
      </c>
      <c r="BS50" s="26">
        <f t="shared" si="670"/>
        <v>960</v>
      </c>
      <c r="BT50" s="27">
        <f t="shared" si="715"/>
        <v>4.3749999999999997E-2</v>
      </c>
      <c r="BU50" s="27">
        <f t="shared" si="716"/>
        <v>0.39549999999999996</v>
      </c>
      <c r="BV50" s="66">
        <v>49</v>
      </c>
      <c r="BW50" s="26">
        <f t="shared" si="671"/>
        <v>958</v>
      </c>
      <c r="BX50" s="27">
        <f t="shared" si="717"/>
        <v>5.1148225469728602E-2</v>
      </c>
      <c r="BY50" s="27">
        <f t="shared" si="718"/>
        <v>0.46237995824634653</v>
      </c>
      <c r="BZ50" s="66">
        <v>50</v>
      </c>
      <c r="CA50" s="26">
        <f t="shared" si="672"/>
        <v>345</v>
      </c>
      <c r="CB50" s="27">
        <f t="shared" si="719"/>
        <v>0.14492753623188406</v>
      </c>
      <c r="CC50" s="27">
        <f t="shared" si="720"/>
        <v>1.3101449275362318</v>
      </c>
      <c r="CD50" s="66">
        <v>49</v>
      </c>
      <c r="CE50" s="26">
        <f t="shared" si="673"/>
        <v>801</v>
      </c>
      <c r="CF50" s="27">
        <f t="shared" si="721"/>
        <v>6.117353308364544E-2</v>
      </c>
      <c r="CG50" s="27">
        <f t="shared" si="722"/>
        <v>0.55300873907615478</v>
      </c>
      <c r="CH50" s="66">
        <v>21</v>
      </c>
      <c r="CI50" s="26">
        <f t="shared" si="674"/>
        <v>0</v>
      </c>
      <c r="CJ50" s="27">
        <f t="shared" si="723"/>
        <v>0</v>
      </c>
      <c r="CK50" s="27">
        <f t="shared" si="724"/>
        <v>0</v>
      </c>
      <c r="CL50" s="62">
        <v>40</v>
      </c>
      <c r="CM50" s="26">
        <f t="shared" si="675"/>
        <v>1235</v>
      </c>
      <c r="CN50" s="27">
        <f t="shared" si="725"/>
        <v>3.2388663967611336E-2</v>
      </c>
      <c r="CO50" s="27">
        <f t="shared" si="726"/>
        <v>0.29279352226720645</v>
      </c>
      <c r="CP50" s="8">
        <v>43</v>
      </c>
      <c r="CQ50" s="26">
        <f t="shared" si="676"/>
        <v>1167</v>
      </c>
      <c r="CR50" s="27">
        <f t="shared" si="727"/>
        <v>3.6846615252784917E-2</v>
      </c>
      <c r="CS50" s="27">
        <f t="shared" si="728"/>
        <v>0.33309340188517561</v>
      </c>
      <c r="CT50" s="8">
        <v>44</v>
      </c>
      <c r="CU50" s="26">
        <f t="shared" si="677"/>
        <v>925</v>
      </c>
      <c r="CV50" s="27">
        <f t="shared" si="729"/>
        <v>4.7567567567567567E-2</v>
      </c>
      <c r="CW50" s="27">
        <f t="shared" si="730"/>
        <v>0.43001081081081077</v>
      </c>
      <c r="CX50" s="8">
        <v>46</v>
      </c>
      <c r="CY50" s="26">
        <f t="shared" si="678"/>
        <v>400</v>
      </c>
      <c r="CZ50" s="27">
        <f t="shared" si="731"/>
        <v>0.115</v>
      </c>
      <c r="DA50" s="27">
        <f t="shared" si="732"/>
        <v>1.0395999999999999</v>
      </c>
      <c r="DB50" s="63">
        <v>46</v>
      </c>
      <c r="DC50" s="26">
        <f t="shared" si="679"/>
        <v>517</v>
      </c>
      <c r="DD50" s="27">
        <f t="shared" si="733"/>
        <v>8.8974854932301742E-2</v>
      </c>
      <c r="DE50" s="27">
        <f t="shared" si="734"/>
        <v>0.80433268858800766</v>
      </c>
      <c r="DF50" s="8">
        <v>36</v>
      </c>
      <c r="DG50" s="26">
        <f t="shared" si="680"/>
        <v>1125</v>
      </c>
      <c r="DH50" s="27">
        <f t="shared" si="735"/>
        <v>3.2000000000000001E-2</v>
      </c>
      <c r="DI50" s="27">
        <f t="shared" si="736"/>
        <v>0.28927999999999998</v>
      </c>
      <c r="DJ50" s="8">
        <v>30</v>
      </c>
      <c r="DK50" s="26">
        <f t="shared" si="681"/>
        <v>1063</v>
      </c>
      <c r="DL50" s="27">
        <f t="shared" si="737"/>
        <v>2.8222013170272814E-2</v>
      </c>
      <c r="DM50" s="27">
        <f t="shared" si="738"/>
        <v>0.25512699905926622</v>
      </c>
      <c r="DN50" s="8">
        <v>43</v>
      </c>
      <c r="DO50" s="26">
        <f t="shared" si="682"/>
        <v>764</v>
      </c>
      <c r="DP50" s="27">
        <f t="shared" si="739"/>
        <v>5.6282722513089002E-2</v>
      </c>
      <c r="DQ50" s="27">
        <f t="shared" si="740"/>
        <v>0.50879581151832454</v>
      </c>
      <c r="DR50" s="8">
        <v>41</v>
      </c>
      <c r="DS50" s="26">
        <f t="shared" si="683"/>
        <v>684</v>
      </c>
      <c r="DT50" s="27">
        <f t="shared" si="741"/>
        <v>5.9941520467836254E-2</v>
      </c>
      <c r="DU50" s="27">
        <f t="shared" si="742"/>
        <v>0.54187134502923973</v>
      </c>
      <c r="DV50" s="8"/>
      <c r="DW50" s="26">
        <f t="shared" si="684"/>
        <v>0</v>
      </c>
      <c r="DX50" s="27">
        <f t="shared" si="648"/>
        <v>0</v>
      </c>
      <c r="DY50" s="27">
        <f t="shared" si="649"/>
        <v>0</v>
      </c>
      <c r="DZ50" s="28">
        <f t="shared" si="650"/>
        <v>1239</v>
      </c>
      <c r="EA50" s="28">
        <f t="shared" si="651"/>
        <v>19205</v>
      </c>
      <c r="EB50" s="33">
        <f t="shared" si="652"/>
        <v>6.4514449362145274E-2</v>
      </c>
      <c r="EC50" s="33">
        <f t="shared" si="653"/>
        <v>0.58321062223379316</v>
      </c>
    </row>
    <row r="51" spans="2:133" s="32" customFormat="1" ht="25.5" x14ac:dyDescent="0.35">
      <c r="B51" s="49"/>
      <c r="C51" s="49"/>
      <c r="D51" s="25" t="s">
        <v>311</v>
      </c>
      <c r="E51" s="72"/>
      <c r="F51" s="66">
        <v>0</v>
      </c>
      <c r="G51" s="26">
        <f t="shared" si="654"/>
        <v>0</v>
      </c>
      <c r="H51" s="27">
        <f t="shared" si="685"/>
        <v>0</v>
      </c>
      <c r="I51" s="27">
        <f t="shared" si="686"/>
        <v>0</v>
      </c>
      <c r="J51" s="66">
        <v>2</v>
      </c>
      <c r="K51" s="26">
        <f t="shared" si="655"/>
        <v>0</v>
      </c>
      <c r="L51" s="27">
        <f t="shared" si="687"/>
        <v>0</v>
      </c>
      <c r="M51" s="27">
        <f t="shared" si="688"/>
        <v>0</v>
      </c>
      <c r="N51" s="67">
        <v>6</v>
      </c>
      <c r="O51" s="26">
        <f t="shared" si="656"/>
        <v>597</v>
      </c>
      <c r="P51" s="27">
        <f t="shared" si="689"/>
        <v>1.0050251256281407E-2</v>
      </c>
      <c r="Q51" s="27">
        <f t="shared" si="690"/>
        <v>9.0854271356783908E-2</v>
      </c>
      <c r="R51" s="67">
        <v>7</v>
      </c>
      <c r="S51" s="26">
        <f t="shared" si="657"/>
        <v>628</v>
      </c>
      <c r="T51" s="27">
        <f t="shared" si="691"/>
        <v>1.1146496815286623E-2</v>
      </c>
      <c r="U51" s="27">
        <f t="shared" si="692"/>
        <v>0.10076433121019107</v>
      </c>
      <c r="V51" s="67">
        <v>7</v>
      </c>
      <c r="W51" s="26">
        <f t="shared" si="658"/>
        <v>913</v>
      </c>
      <c r="X51" s="27">
        <f t="shared" si="693"/>
        <v>7.6670317634173054E-3</v>
      </c>
      <c r="Y51" s="27">
        <f t="shared" si="694"/>
        <v>6.9309967141292436E-2</v>
      </c>
      <c r="Z51" s="67">
        <v>0</v>
      </c>
      <c r="AA51" s="26">
        <f t="shared" si="659"/>
        <v>0</v>
      </c>
      <c r="AB51" s="27">
        <f t="shared" si="695"/>
        <v>0</v>
      </c>
      <c r="AC51" s="27">
        <f t="shared" si="696"/>
        <v>0</v>
      </c>
      <c r="AD51" s="67">
        <v>7</v>
      </c>
      <c r="AE51" s="26">
        <f t="shared" si="660"/>
        <v>523</v>
      </c>
      <c r="AF51" s="27">
        <f t="shared" si="600"/>
        <v>1.338432122370937E-2</v>
      </c>
      <c r="AG51" s="27">
        <f t="shared" si="601"/>
        <v>0.1209942638623327</v>
      </c>
      <c r="AH51" s="66">
        <v>6</v>
      </c>
      <c r="AI51" s="26">
        <f t="shared" si="661"/>
        <v>0</v>
      </c>
      <c r="AJ51" s="27">
        <f t="shared" si="697"/>
        <v>0</v>
      </c>
      <c r="AK51" s="27">
        <f t="shared" si="698"/>
        <v>0</v>
      </c>
      <c r="AL51" s="66">
        <v>7</v>
      </c>
      <c r="AM51" s="26">
        <f t="shared" si="662"/>
        <v>1004</v>
      </c>
      <c r="AN51" s="27">
        <f t="shared" si="699"/>
        <v>6.9721115537848604E-3</v>
      </c>
      <c r="AO51" s="27">
        <f t="shared" si="700"/>
        <v>6.3027888446215138E-2</v>
      </c>
      <c r="AP51" s="66">
        <v>7</v>
      </c>
      <c r="AQ51" s="26">
        <f t="shared" si="663"/>
        <v>1157</v>
      </c>
      <c r="AR51" s="27">
        <f t="shared" si="701"/>
        <v>6.0501296456352636E-3</v>
      </c>
      <c r="AS51" s="27">
        <f t="shared" si="702"/>
        <v>5.4693171996542778E-2</v>
      </c>
      <c r="AT51" s="66">
        <v>7</v>
      </c>
      <c r="AU51" s="26">
        <f t="shared" si="664"/>
        <v>0</v>
      </c>
      <c r="AV51" s="27">
        <f t="shared" si="703"/>
        <v>0</v>
      </c>
      <c r="AW51" s="27">
        <f t="shared" si="704"/>
        <v>0</v>
      </c>
      <c r="AX51" s="66">
        <v>7</v>
      </c>
      <c r="AY51" s="26">
        <f t="shared" si="665"/>
        <v>1046</v>
      </c>
      <c r="AZ51" s="27">
        <f t="shared" si="705"/>
        <v>6.6921606118546849E-3</v>
      </c>
      <c r="BA51" s="27">
        <f t="shared" si="706"/>
        <v>6.0497131931166348E-2</v>
      </c>
      <c r="BB51" s="66">
        <v>8</v>
      </c>
      <c r="BC51" s="26">
        <f t="shared" si="666"/>
        <v>0</v>
      </c>
      <c r="BD51" s="27">
        <f t="shared" si="707"/>
        <v>0</v>
      </c>
      <c r="BE51" s="27">
        <f t="shared" si="708"/>
        <v>0</v>
      </c>
      <c r="BF51" s="66">
        <v>0</v>
      </c>
      <c r="BG51" s="26">
        <f t="shared" si="667"/>
        <v>744</v>
      </c>
      <c r="BH51" s="27">
        <f t="shared" si="709"/>
        <v>0</v>
      </c>
      <c r="BI51" s="27">
        <f t="shared" si="710"/>
        <v>0</v>
      </c>
      <c r="BJ51" s="66">
        <v>7</v>
      </c>
      <c r="BK51" s="26">
        <f t="shared" si="668"/>
        <v>1089</v>
      </c>
      <c r="BL51" s="27">
        <f t="shared" si="711"/>
        <v>6.4279155188246093E-3</v>
      </c>
      <c r="BM51" s="27">
        <f t="shared" si="712"/>
        <v>5.8108356290174461E-2</v>
      </c>
      <c r="BN51" s="66">
        <v>7</v>
      </c>
      <c r="BO51" s="26">
        <f t="shared" si="669"/>
        <v>1083</v>
      </c>
      <c r="BP51" s="27">
        <f t="shared" si="713"/>
        <v>6.4635272391505077E-3</v>
      </c>
      <c r="BQ51" s="27">
        <f t="shared" si="714"/>
        <v>5.8430286241920586E-2</v>
      </c>
      <c r="BR51" s="66">
        <v>7</v>
      </c>
      <c r="BS51" s="26">
        <f t="shared" si="670"/>
        <v>960</v>
      </c>
      <c r="BT51" s="27">
        <f t="shared" si="715"/>
        <v>7.2916666666666668E-3</v>
      </c>
      <c r="BU51" s="27">
        <f t="shared" si="716"/>
        <v>6.5916666666666665E-2</v>
      </c>
      <c r="BV51" s="66">
        <v>8</v>
      </c>
      <c r="BW51" s="26">
        <f t="shared" si="671"/>
        <v>958</v>
      </c>
      <c r="BX51" s="27">
        <f t="shared" si="717"/>
        <v>8.350730688935281E-3</v>
      </c>
      <c r="BY51" s="27">
        <f t="shared" si="718"/>
        <v>7.5490605427974936E-2</v>
      </c>
      <c r="BZ51" s="66">
        <v>7</v>
      </c>
      <c r="CA51" s="26">
        <f t="shared" si="672"/>
        <v>345</v>
      </c>
      <c r="CB51" s="27">
        <f t="shared" si="719"/>
        <v>2.0289855072463767E-2</v>
      </c>
      <c r="CC51" s="27">
        <f t="shared" si="720"/>
        <v>0.18342028985507244</v>
      </c>
      <c r="CD51" s="66">
        <v>7</v>
      </c>
      <c r="CE51" s="26">
        <f t="shared" si="673"/>
        <v>801</v>
      </c>
      <c r="CF51" s="27">
        <f t="shared" si="721"/>
        <v>8.7390761548064924E-3</v>
      </c>
      <c r="CG51" s="27">
        <f t="shared" si="722"/>
        <v>7.900124843945068E-2</v>
      </c>
      <c r="CH51" s="66">
        <v>0</v>
      </c>
      <c r="CI51" s="26">
        <f t="shared" si="674"/>
        <v>0</v>
      </c>
      <c r="CJ51" s="27">
        <f t="shared" si="723"/>
        <v>0</v>
      </c>
      <c r="CK51" s="27">
        <f t="shared" si="724"/>
        <v>0</v>
      </c>
      <c r="CL51" s="62">
        <v>7</v>
      </c>
      <c r="CM51" s="26">
        <f t="shared" si="675"/>
        <v>1235</v>
      </c>
      <c r="CN51" s="27">
        <f t="shared" si="725"/>
        <v>5.6680161943319842E-3</v>
      </c>
      <c r="CO51" s="27">
        <f t="shared" si="726"/>
        <v>5.1238866396761132E-2</v>
      </c>
      <c r="CP51" s="8">
        <v>7</v>
      </c>
      <c r="CQ51" s="26">
        <f t="shared" si="676"/>
        <v>1167</v>
      </c>
      <c r="CR51" s="27">
        <f t="shared" si="727"/>
        <v>5.9982862039417309E-3</v>
      </c>
      <c r="CS51" s="27">
        <f t="shared" si="728"/>
        <v>5.422450728363324E-2</v>
      </c>
      <c r="CT51" s="8">
        <v>7</v>
      </c>
      <c r="CU51" s="26">
        <f t="shared" si="677"/>
        <v>925</v>
      </c>
      <c r="CV51" s="27">
        <f t="shared" si="729"/>
        <v>7.5675675675675675E-3</v>
      </c>
      <c r="CW51" s="27">
        <f t="shared" si="730"/>
        <v>6.841081081081081E-2</v>
      </c>
      <c r="CX51" s="8">
        <v>7</v>
      </c>
      <c r="CY51" s="26">
        <f t="shared" si="678"/>
        <v>400</v>
      </c>
      <c r="CZ51" s="27">
        <f t="shared" si="731"/>
        <v>1.7500000000000002E-2</v>
      </c>
      <c r="DA51" s="27">
        <f t="shared" si="732"/>
        <v>0.15820000000000001</v>
      </c>
      <c r="DB51" s="63">
        <v>6</v>
      </c>
      <c r="DC51" s="26">
        <f t="shared" si="679"/>
        <v>517</v>
      </c>
      <c r="DD51" s="27">
        <f t="shared" si="733"/>
        <v>1.160541586073501E-2</v>
      </c>
      <c r="DE51" s="27">
        <f t="shared" si="734"/>
        <v>0.10491295938104449</v>
      </c>
      <c r="DF51" s="8">
        <v>5</v>
      </c>
      <c r="DG51" s="26">
        <f t="shared" si="680"/>
        <v>1125</v>
      </c>
      <c r="DH51" s="27">
        <f t="shared" si="735"/>
        <v>4.4444444444444444E-3</v>
      </c>
      <c r="DI51" s="27">
        <f t="shared" si="736"/>
        <v>4.0177777777777771E-2</v>
      </c>
      <c r="DJ51" s="8">
        <v>5</v>
      </c>
      <c r="DK51" s="26">
        <f t="shared" si="681"/>
        <v>1063</v>
      </c>
      <c r="DL51" s="27">
        <f t="shared" si="737"/>
        <v>4.7036688617121351E-3</v>
      </c>
      <c r="DM51" s="27">
        <f t="shared" si="738"/>
        <v>4.2521166509877695E-2</v>
      </c>
      <c r="DN51" s="8">
        <v>8</v>
      </c>
      <c r="DO51" s="26">
        <f t="shared" si="682"/>
        <v>764</v>
      </c>
      <c r="DP51" s="27">
        <f t="shared" si="739"/>
        <v>1.0471204188481676E-2</v>
      </c>
      <c r="DQ51" s="27">
        <f t="shared" si="740"/>
        <v>9.465968586387434E-2</v>
      </c>
      <c r="DR51" s="8">
        <v>7</v>
      </c>
      <c r="DS51" s="26">
        <f t="shared" si="683"/>
        <v>684</v>
      </c>
      <c r="DT51" s="27">
        <f t="shared" si="741"/>
        <v>1.023391812865497E-2</v>
      </c>
      <c r="DU51" s="27">
        <f t="shared" si="742"/>
        <v>9.2514619883040924E-2</v>
      </c>
      <c r="DV51" s="8"/>
      <c r="DW51" s="26">
        <f t="shared" si="684"/>
        <v>0</v>
      </c>
      <c r="DX51" s="27">
        <f t="shared" si="648"/>
        <v>0</v>
      </c>
      <c r="DY51" s="27">
        <f t="shared" si="649"/>
        <v>0</v>
      </c>
      <c r="DZ51" s="28">
        <f t="shared" si="650"/>
        <v>173</v>
      </c>
      <c r="EA51" s="28">
        <f t="shared" si="651"/>
        <v>19205</v>
      </c>
      <c r="EB51" s="33">
        <f t="shared" si="652"/>
        <v>9.008070814891956E-3</v>
      </c>
      <c r="EC51" s="33">
        <f t="shared" si="653"/>
        <v>8.1432960166623269E-2</v>
      </c>
    </row>
    <row r="52" spans="2:133" s="32" customFormat="1" ht="25.5" x14ac:dyDescent="0.35">
      <c r="B52" s="49"/>
      <c r="C52" s="49"/>
      <c r="D52" s="25" t="s">
        <v>312</v>
      </c>
      <c r="E52" s="72"/>
      <c r="F52" s="66">
        <v>0</v>
      </c>
      <c r="G52" s="26">
        <f t="shared" si="654"/>
        <v>0</v>
      </c>
      <c r="H52" s="27">
        <f t="shared" si="685"/>
        <v>0</v>
      </c>
      <c r="I52" s="27">
        <f t="shared" si="686"/>
        <v>0</v>
      </c>
      <c r="J52" s="66">
        <v>0</v>
      </c>
      <c r="K52" s="26">
        <f t="shared" si="655"/>
        <v>0</v>
      </c>
      <c r="L52" s="27">
        <f t="shared" si="687"/>
        <v>0</v>
      </c>
      <c r="M52" s="27">
        <f t="shared" si="688"/>
        <v>0</v>
      </c>
      <c r="N52" s="67">
        <v>0</v>
      </c>
      <c r="O52" s="26">
        <f t="shared" si="656"/>
        <v>597</v>
      </c>
      <c r="P52" s="27">
        <f t="shared" si="689"/>
        <v>0</v>
      </c>
      <c r="Q52" s="27">
        <f t="shared" si="690"/>
        <v>0</v>
      </c>
      <c r="R52" s="67">
        <v>0</v>
      </c>
      <c r="S52" s="26">
        <f t="shared" si="657"/>
        <v>628</v>
      </c>
      <c r="T52" s="27">
        <f t="shared" si="691"/>
        <v>0</v>
      </c>
      <c r="U52" s="27">
        <f t="shared" si="692"/>
        <v>0</v>
      </c>
      <c r="V52" s="67">
        <v>1</v>
      </c>
      <c r="W52" s="26">
        <f t="shared" si="658"/>
        <v>913</v>
      </c>
      <c r="X52" s="27">
        <f t="shared" si="693"/>
        <v>1.0952902519167579E-3</v>
      </c>
      <c r="Y52" s="27">
        <f t="shared" si="694"/>
        <v>9.9014238773274914E-3</v>
      </c>
      <c r="Z52" s="67">
        <v>0</v>
      </c>
      <c r="AA52" s="26">
        <f t="shared" si="659"/>
        <v>0</v>
      </c>
      <c r="AB52" s="27">
        <f t="shared" si="695"/>
        <v>0</v>
      </c>
      <c r="AC52" s="27">
        <f t="shared" si="696"/>
        <v>0</v>
      </c>
      <c r="AD52" s="67">
        <v>0</v>
      </c>
      <c r="AE52" s="26">
        <f t="shared" si="660"/>
        <v>523</v>
      </c>
      <c r="AF52" s="27">
        <f t="shared" si="600"/>
        <v>0</v>
      </c>
      <c r="AG52" s="27">
        <f t="shared" si="601"/>
        <v>0</v>
      </c>
      <c r="AH52" s="66">
        <v>1</v>
      </c>
      <c r="AI52" s="26">
        <f t="shared" si="661"/>
        <v>0</v>
      </c>
      <c r="AJ52" s="27">
        <f t="shared" si="697"/>
        <v>0</v>
      </c>
      <c r="AK52" s="27">
        <f t="shared" si="698"/>
        <v>0</v>
      </c>
      <c r="AL52" s="66">
        <v>0</v>
      </c>
      <c r="AM52" s="26">
        <f t="shared" si="662"/>
        <v>1004</v>
      </c>
      <c r="AN52" s="27">
        <f t="shared" si="699"/>
        <v>0</v>
      </c>
      <c r="AO52" s="27">
        <f t="shared" si="700"/>
        <v>0</v>
      </c>
      <c r="AP52" s="66">
        <v>1</v>
      </c>
      <c r="AQ52" s="26">
        <f t="shared" si="663"/>
        <v>1157</v>
      </c>
      <c r="AR52" s="27">
        <f t="shared" si="701"/>
        <v>8.6430423509075197E-4</v>
      </c>
      <c r="AS52" s="27">
        <f t="shared" si="702"/>
        <v>7.8133102852203963E-3</v>
      </c>
      <c r="AT52" s="66">
        <v>1</v>
      </c>
      <c r="AU52" s="26">
        <f t="shared" si="664"/>
        <v>0</v>
      </c>
      <c r="AV52" s="27">
        <f t="shared" si="703"/>
        <v>0</v>
      </c>
      <c r="AW52" s="27">
        <f t="shared" si="704"/>
        <v>0</v>
      </c>
      <c r="AX52" s="66">
        <v>0</v>
      </c>
      <c r="AY52" s="26">
        <f t="shared" si="665"/>
        <v>1046</v>
      </c>
      <c r="AZ52" s="27">
        <f t="shared" si="705"/>
        <v>0</v>
      </c>
      <c r="BA52" s="27">
        <f t="shared" si="706"/>
        <v>0</v>
      </c>
      <c r="BB52" s="66">
        <v>1</v>
      </c>
      <c r="BC52" s="26">
        <f t="shared" si="666"/>
        <v>0</v>
      </c>
      <c r="BD52" s="27">
        <f t="shared" si="707"/>
        <v>0</v>
      </c>
      <c r="BE52" s="27">
        <f t="shared" si="708"/>
        <v>0</v>
      </c>
      <c r="BF52" s="66">
        <v>0</v>
      </c>
      <c r="BG52" s="26">
        <f t="shared" si="667"/>
        <v>744</v>
      </c>
      <c r="BH52" s="27">
        <f t="shared" si="709"/>
        <v>0</v>
      </c>
      <c r="BI52" s="27">
        <f t="shared" si="710"/>
        <v>0</v>
      </c>
      <c r="BJ52" s="66">
        <v>0</v>
      </c>
      <c r="BK52" s="26">
        <f t="shared" si="668"/>
        <v>1089</v>
      </c>
      <c r="BL52" s="27">
        <f t="shared" si="711"/>
        <v>0</v>
      </c>
      <c r="BM52" s="27">
        <f t="shared" si="712"/>
        <v>0</v>
      </c>
      <c r="BN52" s="66">
        <v>0</v>
      </c>
      <c r="BO52" s="26">
        <f t="shared" si="669"/>
        <v>1083</v>
      </c>
      <c r="BP52" s="27">
        <f t="shared" si="713"/>
        <v>0</v>
      </c>
      <c r="BQ52" s="27">
        <f t="shared" si="714"/>
        <v>0</v>
      </c>
      <c r="BR52" s="66">
        <v>1</v>
      </c>
      <c r="BS52" s="26">
        <f t="shared" si="670"/>
        <v>960</v>
      </c>
      <c r="BT52" s="27">
        <f t="shared" si="715"/>
        <v>1.0416666666666667E-3</v>
      </c>
      <c r="BU52" s="27">
        <f t="shared" si="716"/>
        <v>9.4166666666666652E-3</v>
      </c>
      <c r="BV52" s="66">
        <v>0</v>
      </c>
      <c r="BW52" s="26">
        <f t="shared" si="671"/>
        <v>958</v>
      </c>
      <c r="BX52" s="27">
        <f t="shared" si="717"/>
        <v>0</v>
      </c>
      <c r="BY52" s="27">
        <f t="shared" si="718"/>
        <v>0</v>
      </c>
      <c r="BZ52" s="66">
        <v>0</v>
      </c>
      <c r="CA52" s="26">
        <f t="shared" si="672"/>
        <v>345</v>
      </c>
      <c r="CB52" s="27">
        <f t="shared" si="719"/>
        <v>0</v>
      </c>
      <c r="CC52" s="27">
        <f t="shared" si="720"/>
        <v>0</v>
      </c>
      <c r="CD52" s="66">
        <v>1</v>
      </c>
      <c r="CE52" s="26">
        <f t="shared" si="673"/>
        <v>801</v>
      </c>
      <c r="CF52" s="27">
        <f t="shared" si="721"/>
        <v>1.2484394506866417E-3</v>
      </c>
      <c r="CG52" s="27">
        <f t="shared" si="722"/>
        <v>1.1285892634207239E-2</v>
      </c>
      <c r="CH52" s="66">
        <v>0</v>
      </c>
      <c r="CI52" s="26">
        <f t="shared" si="674"/>
        <v>0</v>
      </c>
      <c r="CJ52" s="27">
        <f t="shared" si="723"/>
        <v>0</v>
      </c>
      <c r="CK52" s="27">
        <f t="shared" si="724"/>
        <v>0</v>
      </c>
      <c r="CL52" s="62">
        <v>0</v>
      </c>
      <c r="CM52" s="26">
        <f t="shared" si="675"/>
        <v>1235</v>
      </c>
      <c r="CN52" s="27">
        <f t="shared" si="725"/>
        <v>0</v>
      </c>
      <c r="CO52" s="27">
        <f t="shared" si="726"/>
        <v>0</v>
      </c>
      <c r="CP52" s="8">
        <v>0</v>
      </c>
      <c r="CQ52" s="26">
        <f t="shared" si="676"/>
        <v>1167</v>
      </c>
      <c r="CR52" s="27">
        <f t="shared" si="727"/>
        <v>0</v>
      </c>
      <c r="CS52" s="27">
        <f t="shared" si="728"/>
        <v>0</v>
      </c>
      <c r="CT52" s="8">
        <v>1</v>
      </c>
      <c r="CU52" s="26">
        <f t="shared" si="677"/>
        <v>925</v>
      </c>
      <c r="CV52" s="27">
        <f t="shared" si="729"/>
        <v>1.0810810810810811E-3</v>
      </c>
      <c r="CW52" s="27">
        <f t="shared" si="730"/>
        <v>9.7729729729729726E-3</v>
      </c>
      <c r="CX52" s="8">
        <v>0</v>
      </c>
      <c r="CY52" s="26">
        <f t="shared" si="678"/>
        <v>400</v>
      </c>
      <c r="CZ52" s="27">
        <f t="shared" si="731"/>
        <v>0</v>
      </c>
      <c r="DA52" s="27">
        <f t="shared" si="732"/>
        <v>0</v>
      </c>
      <c r="DB52" s="63">
        <v>0</v>
      </c>
      <c r="DC52" s="26">
        <f t="shared" si="679"/>
        <v>517</v>
      </c>
      <c r="DD52" s="27">
        <f t="shared" si="733"/>
        <v>0</v>
      </c>
      <c r="DE52" s="27">
        <f t="shared" si="734"/>
        <v>0</v>
      </c>
      <c r="DF52" s="8">
        <v>0</v>
      </c>
      <c r="DG52" s="26">
        <f t="shared" si="680"/>
        <v>1125</v>
      </c>
      <c r="DH52" s="27">
        <f t="shared" si="735"/>
        <v>0</v>
      </c>
      <c r="DI52" s="27">
        <f t="shared" si="736"/>
        <v>0</v>
      </c>
      <c r="DJ52" s="8">
        <v>0</v>
      </c>
      <c r="DK52" s="26">
        <f t="shared" si="681"/>
        <v>1063</v>
      </c>
      <c r="DL52" s="27">
        <f t="shared" si="737"/>
        <v>0</v>
      </c>
      <c r="DM52" s="27">
        <f t="shared" si="738"/>
        <v>0</v>
      </c>
      <c r="DN52" s="8">
        <v>2</v>
      </c>
      <c r="DO52" s="26">
        <f t="shared" si="682"/>
        <v>764</v>
      </c>
      <c r="DP52" s="27">
        <f t="shared" si="739"/>
        <v>2.617801047120419E-3</v>
      </c>
      <c r="DQ52" s="27">
        <f t="shared" si="740"/>
        <v>2.3664921465968585E-2</v>
      </c>
      <c r="DR52" s="8">
        <v>0</v>
      </c>
      <c r="DS52" s="26">
        <f t="shared" si="683"/>
        <v>684</v>
      </c>
      <c r="DT52" s="27">
        <f t="shared" si="741"/>
        <v>0</v>
      </c>
      <c r="DU52" s="27">
        <f t="shared" si="742"/>
        <v>0</v>
      </c>
      <c r="DV52" s="8"/>
      <c r="DW52" s="26">
        <f t="shared" si="684"/>
        <v>0</v>
      </c>
      <c r="DX52" s="27">
        <f t="shared" si="648"/>
        <v>0</v>
      </c>
      <c r="DY52" s="27">
        <f t="shared" si="649"/>
        <v>0</v>
      </c>
      <c r="DZ52" s="28">
        <f t="shared" si="650"/>
        <v>10</v>
      </c>
      <c r="EA52" s="28">
        <f t="shared" si="651"/>
        <v>19205</v>
      </c>
      <c r="EB52" s="33">
        <f t="shared" si="652"/>
        <v>5.2069773496485295E-4</v>
      </c>
      <c r="EC52" s="33">
        <f t="shared" si="653"/>
        <v>4.7071075240822701E-3</v>
      </c>
    </row>
    <row r="53" spans="2:133" s="32" customFormat="1" ht="25.5" x14ac:dyDescent="0.35">
      <c r="B53" s="49"/>
      <c r="C53" s="49"/>
      <c r="D53" s="25" t="s">
        <v>319</v>
      </c>
      <c r="E53" s="72"/>
      <c r="F53" s="68">
        <v>0</v>
      </c>
      <c r="G53" s="26">
        <f t="shared" si="654"/>
        <v>0</v>
      </c>
      <c r="H53" s="27">
        <f t="shared" si="685"/>
        <v>0</v>
      </c>
      <c r="I53" s="27">
        <f t="shared" si="686"/>
        <v>0</v>
      </c>
      <c r="J53" s="68">
        <v>0</v>
      </c>
      <c r="K53" s="26">
        <f t="shared" si="655"/>
        <v>0</v>
      </c>
      <c r="L53" s="27">
        <f t="shared" si="687"/>
        <v>0</v>
      </c>
      <c r="M53" s="27">
        <f t="shared" si="688"/>
        <v>0</v>
      </c>
      <c r="N53" s="68">
        <v>0</v>
      </c>
      <c r="O53" s="26">
        <f t="shared" si="656"/>
        <v>597</v>
      </c>
      <c r="P53" s="27">
        <f t="shared" si="689"/>
        <v>0</v>
      </c>
      <c r="Q53" s="27">
        <f t="shared" si="690"/>
        <v>0</v>
      </c>
      <c r="R53" s="68">
        <v>0</v>
      </c>
      <c r="S53" s="26">
        <f t="shared" si="657"/>
        <v>628</v>
      </c>
      <c r="T53" s="27">
        <f t="shared" si="691"/>
        <v>0</v>
      </c>
      <c r="U53" s="27">
        <f t="shared" si="692"/>
        <v>0</v>
      </c>
      <c r="V53" s="68">
        <v>0</v>
      </c>
      <c r="W53" s="26">
        <f t="shared" si="658"/>
        <v>913</v>
      </c>
      <c r="X53" s="27">
        <f t="shared" si="693"/>
        <v>0</v>
      </c>
      <c r="Y53" s="27">
        <f t="shared" si="694"/>
        <v>0</v>
      </c>
      <c r="Z53" s="68">
        <v>0</v>
      </c>
      <c r="AA53" s="26">
        <f t="shared" si="659"/>
        <v>0</v>
      </c>
      <c r="AB53" s="27">
        <f t="shared" si="695"/>
        <v>0</v>
      </c>
      <c r="AC53" s="27">
        <f t="shared" si="696"/>
        <v>0</v>
      </c>
      <c r="AD53" s="68">
        <v>0</v>
      </c>
      <c r="AE53" s="26">
        <f t="shared" si="660"/>
        <v>523</v>
      </c>
      <c r="AF53" s="27">
        <f t="shared" si="600"/>
        <v>0</v>
      </c>
      <c r="AG53" s="27">
        <f t="shared" si="601"/>
        <v>0</v>
      </c>
      <c r="AH53" s="66">
        <v>0</v>
      </c>
      <c r="AI53" s="26">
        <f t="shared" si="661"/>
        <v>0</v>
      </c>
      <c r="AJ53" s="27">
        <f t="shared" si="697"/>
        <v>0</v>
      </c>
      <c r="AK53" s="27">
        <f t="shared" si="698"/>
        <v>0</v>
      </c>
      <c r="AL53" s="66">
        <v>0</v>
      </c>
      <c r="AM53" s="26">
        <f t="shared" si="662"/>
        <v>1004</v>
      </c>
      <c r="AN53" s="27">
        <f t="shared" si="699"/>
        <v>0</v>
      </c>
      <c r="AO53" s="27">
        <f t="shared" si="700"/>
        <v>0</v>
      </c>
      <c r="AP53" s="66">
        <v>0</v>
      </c>
      <c r="AQ53" s="26">
        <f t="shared" si="663"/>
        <v>1157</v>
      </c>
      <c r="AR53" s="27">
        <f t="shared" si="701"/>
        <v>0</v>
      </c>
      <c r="AS53" s="27">
        <f t="shared" si="702"/>
        <v>0</v>
      </c>
      <c r="AT53" s="66">
        <v>0</v>
      </c>
      <c r="AU53" s="26">
        <f t="shared" si="664"/>
        <v>0</v>
      </c>
      <c r="AV53" s="27">
        <f t="shared" si="703"/>
        <v>0</v>
      </c>
      <c r="AW53" s="27">
        <f t="shared" si="704"/>
        <v>0</v>
      </c>
      <c r="AX53" s="66">
        <v>0</v>
      </c>
      <c r="AY53" s="26">
        <f t="shared" si="665"/>
        <v>1046</v>
      </c>
      <c r="AZ53" s="27">
        <f t="shared" si="705"/>
        <v>0</v>
      </c>
      <c r="BA53" s="27">
        <f t="shared" si="706"/>
        <v>0</v>
      </c>
      <c r="BB53" s="66"/>
      <c r="BC53" s="26">
        <f t="shared" si="666"/>
        <v>0</v>
      </c>
      <c r="BD53" s="27">
        <f t="shared" si="707"/>
        <v>0</v>
      </c>
      <c r="BE53" s="27">
        <f t="shared" si="708"/>
        <v>0</v>
      </c>
      <c r="BF53" s="66"/>
      <c r="BG53" s="26">
        <f t="shared" si="667"/>
        <v>744</v>
      </c>
      <c r="BH53" s="27">
        <f t="shared" si="709"/>
        <v>0</v>
      </c>
      <c r="BI53" s="27">
        <f t="shared" si="710"/>
        <v>0</v>
      </c>
      <c r="BJ53" s="66">
        <v>0</v>
      </c>
      <c r="BK53" s="26">
        <f t="shared" si="668"/>
        <v>1089</v>
      </c>
      <c r="BL53" s="27">
        <f t="shared" si="711"/>
        <v>0</v>
      </c>
      <c r="BM53" s="27">
        <f t="shared" si="712"/>
        <v>0</v>
      </c>
      <c r="BN53" s="66">
        <v>0</v>
      </c>
      <c r="BO53" s="26">
        <f t="shared" si="669"/>
        <v>1083</v>
      </c>
      <c r="BP53" s="27">
        <f t="shared" si="713"/>
        <v>0</v>
      </c>
      <c r="BQ53" s="27">
        <f t="shared" si="714"/>
        <v>0</v>
      </c>
      <c r="BR53" s="66">
        <v>0</v>
      </c>
      <c r="BS53" s="26">
        <f t="shared" si="670"/>
        <v>960</v>
      </c>
      <c r="BT53" s="27">
        <f t="shared" si="715"/>
        <v>0</v>
      </c>
      <c r="BU53" s="27">
        <f t="shared" si="716"/>
        <v>0</v>
      </c>
      <c r="BV53" s="66">
        <v>0</v>
      </c>
      <c r="BW53" s="26">
        <f t="shared" si="671"/>
        <v>958</v>
      </c>
      <c r="BX53" s="27">
        <f t="shared" si="717"/>
        <v>0</v>
      </c>
      <c r="BY53" s="27">
        <f t="shared" si="718"/>
        <v>0</v>
      </c>
      <c r="BZ53" s="66">
        <v>0</v>
      </c>
      <c r="CA53" s="26">
        <f t="shared" si="672"/>
        <v>345</v>
      </c>
      <c r="CB53" s="27">
        <f t="shared" si="719"/>
        <v>0</v>
      </c>
      <c r="CC53" s="27">
        <f t="shared" si="720"/>
        <v>0</v>
      </c>
      <c r="CD53" s="66">
        <v>0</v>
      </c>
      <c r="CE53" s="26">
        <f t="shared" si="673"/>
        <v>801</v>
      </c>
      <c r="CF53" s="27">
        <f t="shared" si="721"/>
        <v>0</v>
      </c>
      <c r="CG53" s="27">
        <f t="shared" si="722"/>
        <v>0</v>
      </c>
      <c r="CH53" s="66">
        <v>0</v>
      </c>
      <c r="CI53" s="26">
        <f t="shared" si="674"/>
        <v>0</v>
      </c>
      <c r="CJ53" s="27">
        <f t="shared" si="723"/>
        <v>0</v>
      </c>
      <c r="CK53" s="27">
        <f t="shared" si="724"/>
        <v>0</v>
      </c>
      <c r="CL53" s="62">
        <v>0</v>
      </c>
      <c r="CM53" s="26">
        <f t="shared" si="675"/>
        <v>1235</v>
      </c>
      <c r="CN53" s="27">
        <f t="shared" si="725"/>
        <v>0</v>
      </c>
      <c r="CO53" s="27">
        <f t="shared" si="726"/>
        <v>0</v>
      </c>
      <c r="CP53" s="8">
        <v>0</v>
      </c>
      <c r="CQ53" s="26">
        <f t="shared" si="676"/>
        <v>1167</v>
      </c>
      <c r="CR53" s="27">
        <f t="shared" si="727"/>
        <v>0</v>
      </c>
      <c r="CS53" s="27">
        <f t="shared" si="728"/>
        <v>0</v>
      </c>
      <c r="CT53" s="8">
        <v>0</v>
      </c>
      <c r="CU53" s="26">
        <f t="shared" si="677"/>
        <v>925</v>
      </c>
      <c r="CV53" s="27">
        <f t="shared" si="729"/>
        <v>0</v>
      </c>
      <c r="CW53" s="27">
        <f t="shared" si="730"/>
        <v>0</v>
      </c>
      <c r="CX53" s="8">
        <v>0</v>
      </c>
      <c r="CY53" s="26">
        <f t="shared" si="678"/>
        <v>400</v>
      </c>
      <c r="CZ53" s="27">
        <f t="shared" si="731"/>
        <v>0</v>
      </c>
      <c r="DA53" s="27">
        <f t="shared" si="732"/>
        <v>0</v>
      </c>
      <c r="DB53" s="63">
        <v>0</v>
      </c>
      <c r="DC53" s="26">
        <f t="shared" si="679"/>
        <v>517</v>
      </c>
      <c r="DD53" s="27">
        <f t="shared" si="733"/>
        <v>0</v>
      </c>
      <c r="DE53" s="27">
        <f t="shared" si="734"/>
        <v>0</v>
      </c>
      <c r="DF53" s="8">
        <v>0</v>
      </c>
      <c r="DG53" s="26">
        <f t="shared" si="680"/>
        <v>1125</v>
      </c>
      <c r="DH53" s="27">
        <f t="shared" si="735"/>
        <v>0</v>
      </c>
      <c r="DI53" s="27">
        <f t="shared" si="736"/>
        <v>0</v>
      </c>
      <c r="DJ53" s="8">
        <v>0</v>
      </c>
      <c r="DK53" s="26">
        <f t="shared" si="681"/>
        <v>1063</v>
      </c>
      <c r="DL53" s="27">
        <f t="shared" si="737"/>
        <v>0</v>
      </c>
      <c r="DM53" s="27">
        <f t="shared" si="738"/>
        <v>0</v>
      </c>
      <c r="DN53" s="8">
        <v>0</v>
      </c>
      <c r="DO53" s="26">
        <f t="shared" si="682"/>
        <v>764</v>
      </c>
      <c r="DP53" s="27">
        <f t="shared" si="739"/>
        <v>0</v>
      </c>
      <c r="DQ53" s="27">
        <f t="shared" si="740"/>
        <v>0</v>
      </c>
      <c r="DR53" s="8">
        <v>0</v>
      </c>
      <c r="DS53" s="26">
        <f t="shared" si="683"/>
        <v>684</v>
      </c>
      <c r="DT53" s="27">
        <f t="shared" si="741"/>
        <v>0</v>
      </c>
      <c r="DU53" s="27">
        <f t="shared" si="742"/>
        <v>0</v>
      </c>
      <c r="DV53" s="8"/>
      <c r="DW53" s="26">
        <f t="shared" si="684"/>
        <v>0</v>
      </c>
      <c r="DX53" s="27">
        <f t="shared" si="648"/>
        <v>0</v>
      </c>
      <c r="DY53" s="27">
        <f t="shared" si="649"/>
        <v>0</v>
      </c>
      <c r="DZ53" s="28">
        <f t="shared" si="650"/>
        <v>0</v>
      </c>
      <c r="EA53" s="28">
        <f t="shared" si="651"/>
        <v>19205</v>
      </c>
      <c r="EB53" s="33">
        <f t="shared" si="652"/>
        <v>0</v>
      </c>
      <c r="EC53" s="33">
        <f t="shared" si="653"/>
        <v>0</v>
      </c>
    </row>
    <row r="54" spans="2:133" s="32" customFormat="1" ht="31.5" x14ac:dyDescent="0.35">
      <c r="B54" s="49"/>
      <c r="C54" s="49"/>
      <c r="D54" s="25" t="s">
        <v>320</v>
      </c>
      <c r="E54" s="72"/>
      <c r="F54" s="68">
        <v>10</v>
      </c>
      <c r="G54" s="26">
        <f t="shared" si="654"/>
        <v>0</v>
      </c>
      <c r="H54" s="27">
        <f t="shared" si="685"/>
        <v>0</v>
      </c>
      <c r="I54" s="27">
        <f t="shared" si="686"/>
        <v>0</v>
      </c>
      <c r="J54" s="68">
        <v>28</v>
      </c>
      <c r="K54" s="26">
        <f t="shared" si="655"/>
        <v>0</v>
      </c>
      <c r="L54" s="27">
        <f t="shared" si="687"/>
        <v>0</v>
      </c>
      <c r="M54" s="27">
        <f t="shared" si="688"/>
        <v>0</v>
      </c>
      <c r="N54" s="68">
        <v>26</v>
      </c>
      <c r="O54" s="26">
        <f t="shared" si="656"/>
        <v>597</v>
      </c>
      <c r="P54" s="27">
        <f t="shared" si="689"/>
        <v>4.3551088777219429E-2</v>
      </c>
      <c r="Q54" s="27">
        <f t="shared" si="690"/>
        <v>0.39370184254606361</v>
      </c>
      <c r="R54" s="68">
        <v>27</v>
      </c>
      <c r="S54" s="26">
        <f t="shared" si="657"/>
        <v>628</v>
      </c>
      <c r="T54" s="27">
        <f t="shared" si="691"/>
        <v>4.2993630573248405E-2</v>
      </c>
      <c r="U54" s="27">
        <f t="shared" si="692"/>
        <v>0.38866242038216553</v>
      </c>
      <c r="V54" s="68">
        <v>23</v>
      </c>
      <c r="W54" s="26">
        <f t="shared" si="658"/>
        <v>913</v>
      </c>
      <c r="X54" s="27">
        <f t="shared" si="693"/>
        <v>2.5191675794085433E-2</v>
      </c>
      <c r="Y54" s="27">
        <f t="shared" si="694"/>
        <v>0.22773274917853228</v>
      </c>
      <c r="Z54" s="68">
        <v>4</v>
      </c>
      <c r="AA54" s="26">
        <f t="shared" si="659"/>
        <v>0</v>
      </c>
      <c r="AB54" s="27">
        <f t="shared" si="695"/>
        <v>0</v>
      </c>
      <c r="AC54" s="27">
        <f t="shared" si="696"/>
        <v>0</v>
      </c>
      <c r="AD54" s="68">
        <v>21</v>
      </c>
      <c r="AE54" s="26">
        <f t="shared" si="660"/>
        <v>523</v>
      </c>
      <c r="AF54" s="27">
        <f t="shared" si="600"/>
        <v>4.0152963671128104E-2</v>
      </c>
      <c r="AG54" s="27">
        <f t="shared" si="601"/>
        <v>0.36298279158699803</v>
      </c>
      <c r="AH54" s="66">
        <v>38</v>
      </c>
      <c r="AI54" s="26">
        <f t="shared" si="661"/>
        <v>0</v>
      </c>
      <c r="AJ54" s="27">
        <f t="shared" si="697"/>
        <v>0</v>
      </c>
      <c r="AK54" s="27">
        <f t="shared" si="698"/>
        <v>0</v>
      </c>
      <c r="AL54" s="66">
        <v>30</v>
      </c>
      <c r="AM54" s="26">
        <f t="shared" si="662"/>
        <v>1004</v>
      </c>
      <c r="AN54" s="27">
        <f t="shared" si="699"/>
        <v>2.9880478087649404E-2</v>
      </c>
      <c r="AO54" s="27">
        <f t="shared" si="700"/>
        <v>0.27011952191235056</v>
      </c>
      <c r="AP54" s="66">
        <v>37</v>
      </c>
      <c r="AQ54" s="26">
        <f t="shared" si="663"/>
        <v>1157</v>
      </c>
      <c r="AR54" s="27">
        <f t="shared" si="701"/>
        <v>3.1979256698357821E-2</v>
      </c>
      <c r="AS54" s="27">
        <f t="shared" si="702"/>
        <v>0.28909248055315467</v>
      </c>
      <c r="AT54" s="66">
        <v>25</v>
      </c>
      <c r="AU54" s="26">
        <f t="shared" si="664"/>
        <v>0</v>
      </c>
      <c r="AV54" s="27">
        <f t="shared" si="703"/>
        <v>0</v>
      </c>
      <c r="AW54" s="27">
        <f t="shared" si="704"/>
        <v>0</v>
      </c>
      <c r="AX54" s="66">
        <v>29</v>
      </c>
      <c r="AY54" s="26">
        <f t="shared" si="665"/>
        <v>1046</v>
      </c>
      <c r="AZ54" s="27">
        <f t="shared" si="705"/>
        <v>2.7724665391969407E-2</v>
      </c>
      <c r="BA54" s="27">
        <f t="shared" si="706"/>
        <v>0.25063097514340343</v>
      </c>
      <c r="BB54" s="66">
        <v>28</v>
      </c>
      <c r="BC54" s="26">
        <f t="shared" si="666"/>
        <v>0</v>
      </c>
      <c r="BD54" s="27">
        <f t="shared" si="707"/>
        <v>0</v>
      </c>
      <c r="BE54" s="27">
        <f t="shared" si="708"/>
        <v>0</v>
      </c>
      <c r="BF54" s="66">
        <v>10</v>
      </c>
      <c r="BG54" s="26">
        <f t="shared" si="667"/>
        <v>744</v>
      </c>
      <c r="BH54" s="27">
        <f t="shared" si="709"/>
        <v>1.3440860215053764E-2</v>
      </c>
      <c r="BI54" s="27">
        <f t="shared" si="710"/>
        <v>0.12150537634408601</v>
      </c>
      <c r="BJ54" s="66">
        <v>23</v>
      </c>
      <c r="BK54" s="26">
        <f t="shared" si="668"/>
        <v>1089</v>
      </c>
      <c r="BL54" s="27">
        <f t="shared" si="711"/>
        <v>2.1120293847566574E-2</v>
      </c>
      <c r="BM54" s="27">
        <f t="shared" si="712"/>
        <v>0.19092745638200181</v>
      </c>
      <c r="BN54" s="66">
        <v>21</v>
      </c>
      <c r="BO54" s="26">
        <f t="shared" si="669"/>
        <v>1083</v>
      </c>
      <c r="BP54" s="27">
        <f t="shared" si="713"/>
        <v>1.9390581717451522E-2</v>
      </c>
      <c r="BQ54" s="27">
        <f t="shared" si="714"/>
        <v>0.17529085872576175</v>
      </c>
      <c r="BR54" s="66">
        <v>27</v>
      </c>
      <c r="BS54" s="26">
        <f t="shared" si="670"/>
        <v>960</v>
      </c>
      <c r="BT54" s="27">
        <f t="shared" si="715"/>
        <v>2.8125000000000001E-2</v>
      </c>
      <c r="BU54" s="27">
        <f t="shared" si="716"/>
        <v>0.25424999999999998</v>
      </c>
      <c r="BV54" s="64">
        <v>33</v>
      </c>
      <c r="BW54" s="26">
        <f t="shared" si="671"/>
        <v>958</v>
      </c>
      <c r="BX54" s="27">
        <f t="shared" si="717"/>
        <v>3.444676409185804E-2</v>
      </c>
      <c r="BY54" s="27">
        <f t="shared" si="718"/>
        <v>0.31139874739039664</v>
      </c>
      <c r="BZ54" s="64">
        <v>30</v>
      </c>
      <c r="CA54" s="26">
        <f t="shared" si="672"/>
        <v>345</v>
      </c>
      <c r="CB54" s="27">
        <f t="shared" si="719"/>
        <v>8.6956521739130432E-2</v>
      </c>
      <c r="CC54" s="27">
        <f t="shared" si="720"/>
        <v>0.78608695652173899</v>
      </c>
      <c r="CD54" s="66">
        <v>33</v>
      </c>
      <c r="CE54" s="26">
        <f t="shared" si="673"/>
        <v>801</v>
      </c>
      <c r="CF54" s="27">
        <f t="shared" si="721"/>
        <v>4.1198501872659173E-2</v>
      </c>
      <c r="CG54" s="27">
        <f t="shared" si="722"/>
        <v>0.37243445692883886</v>
      </c>
      <c r="CH54" s="66">
        <v>6</v>
      </c>
      <c r="CI54" s="26">
        <f t="shared" si="674"/>
        <v>0</v>
      </c>
      <c r="CJ54" s="27">
        <f t="shared" si="723"/>
        <v>0</v>
      </c>
      <c r="CK54" s="27">
        <f t="shared" si="724"/>
        <v>0</v>
      </c>
      <c r="CL54" s="62">
        <v>24</v>
      </c>
      <c r="CM54" s="26">
        <f t="shared" si="675"/>
        <v>1235</v>
      </c>
      <c r="CN54" s="27">
        <f t="shared" si="725"/>
        <v>1.9433198380566803E-2</v>
      </c>
      <c r="CO54" s="27">
        <f t="shared" si="726"/>
        <v>0.17567611336032388</v>
      </c>
      <c r="CP54" s="8">
        <v>24</v>
      </c>
      <c r="CQ54" s="26">
        <f t="shared" si="676"/>
        <v>1167</v>
      </c>
      <c r="CR54" s="27">
        <f t="shared" si="727"/>
        <v>2.056555269922879E-2</v>
      </c>
      <c r="CS54" s="27">
        <f t="shared" si="728"/>
        <v>0.18591259640102825</v>
      </c>
      <c r="CT54" s="8">
        <v>30</v>
      </c>
      <c r="CU54" s="26">
        <f t="shared" si="677"/>
        <v>925</v>
      </c>
      <c r="CV54" s="27">
        <f t="shared" si="729"/>
        <v>3.2432432432432434E-2</v>
      </c>
      <c r="CW54" s="27">
        <f t="shared" si="730"/>
        <v>0.29318918918918918</v>
      </c>
      <c r="CX54" s="8">
        <v>25</v>
      </c>
      <c r="CY54" s="26">
        <f t="shared" si="678"/>
        <v>400</v>
      </c>
      <c r="CZ54" s="27">
        <f t="shared" si="731"/>
        <v>6.25E-2</v>
      </c>
      <c r="DA54" s="27">
        <f t="shared" si="732"/>
        <v>0.56499999999999995</v>
      </c>
      <c r="DB54" s="63">
        <v>22</v>
      </c>
      <c r="DC54" s="26">
        <f t="shared" si="679"/>
        <v>517</v>
      </c>
      <c r="DD54" s="27">
        <f t="shared" si="733"/>
        <v>4.2553191489361701E-2</v>
      </c>
      <c r="DE54" s="27">
        <f t="shared" si="734"/>
        <v>0.38468085106382977</v>
      </c>
      <c r="DF54" s="8">
        <v>28</v>
      </c>
      <c r="DG54" s="26">
        <f t="shared" si="680"/>
        <v>1125</v>
      </c>
      <c r="DH54" s="27">
        <f t="shared" si="735"/>
        <v>2.4888888888888887E-2</v>
      </c>
      <c r="DI54" s="27">
        <f t="shared" si="736"/>
        <v>0.22499555555555553</v>
      </c>
      <c r="DJ54" s="8">
        <v>20</v>
      </c>
      <c r="DK54" s="26">
        <f t="shared" si="681"/>
        <v>1063</v>
      </c>
      <c r="DL54" s="27">
        <f t="shared" si="737"/>
        <v>1.881467544684854E-2</v>
      </c>
      <c r="DM54" s="27">
        <f t="shared" si="738"/>
        <v>0.17008466603951078</v>
      </c>
      <c r="DN54" s="8">
        <v>25</v>
      </c>
      <c r="DO54" s="26">
        <f t="shared" si="682"/>
        <v>764</v>
      </c>
      <c r="DP54" s="27">
        <f t="shared" si="739"/>
        <v>3.2722513089005235E-2</v>
      </c>
      <c r="DQ54" s="27">
        <f t="shared" si="740"/>
        <v>0.29581151832460728</v>
      </c>
      <c r="DR54" s="8">
        <v>22</v>
      </c>
      <c r="DS54" s="26">
        <f t="shared" si="683"/>
        <v>684</v>
      </c>
      <c r="DT54" s="27">
        <f t="shared" si="741"/>
        <v>3.2163742690058478E-2</v>
      </c>
      <c r="DU54" s="27">
        <f t="shared" si="742"/>
        <v>0.29076023391812861</v>
      </c>
      <c r="DV54" s="8"/>
      <c r="DW54" s="26">
        <f t="shared" si="684"/>
        <v>0</v>
      </c>
      <c r="DX54" s="27">
        <f t="shared" si="648"/>
        <v>0</v>
      </c>
      <c r="DY54" s="27">
        <f t="shared" si="649"/>
        <v>0</v>
      </c>
      <c r="DZ54" s="28">
        <f t="shared" si="650"/>
        <v>729</v>
      </c>
      <c r="EA54" s="28">
        <f t="shared" si="651"/>
        <v>19205</v>
      </c>
      <c r="EB54" s="33">
        <f t="shared" si="652"/>
        <v>3.7958864878937779E-2</v>
      </c>
      <c r="EC54" s="33">
        <f t="shared" si="653"/>
        <v>0.3431481385055975</v>
      </c>
    </row>
    <row r="55" spans="2:133" s="32" customFormat="1" ht="25.5" x14ac:dyDescent="0.35">
      <c r="B55" s="49"/>
      <c r="C55" s="49"/>
      <c r="D55" s="25" t="s">
        <v>313</v>
      </c>
      <c r="E55" s="72"/>
      <c r="F55" s="68">
        <v>25</v>
      </c>
      <c r="G55" s="26">
        <f t="shared" si="654"/>
        <v>0</v>
      </c>
      <c r="H55" s="27">
        <f t="shared" si="685"/>
        <v>0</v>
      </c>
      <c r="I55" s="27">
        <f t="shared" si="686"/>
        <v>0</v>
      </c>
      <c r="J55" s="68">
        <v>25</v>
      </c>
      <c r="K55" s="26">
        <f t="shared" si="655"/>
        <v>0</v>
      </c>
      <c r="L55" s="27">
        <f t="shared" si="687"/>
        <v>0</v>
      </c>
      <c r="M55" s="27">
        <f t="shared" si="688"/>
        <v>0</v>
      </c>
      <c r="N55" s="68">
        <v>25</v>
      </c>
      <c r="O55" s="26">
        <f t="shared" si="656"/>
        <v>597</v>
      </c>
      <c r="P55" s="27">
        <f t="shared" si="689"/>
        <v>4.1876046901172533E-2</v>
      </c>
      <c r="Q55" s="27">
        <f t="shared" si="690"/>
        <v>0.37855946398659968</v>
      </c>
      <c r="R55" s="68">
        <v>25</v>
      </c>
      <c r="S55" s="26">
        <f t="shared" si="657"/>
        <v>628</v>
      </c>
      <c r="T55" s="27">
        <f t="shared" si="691"/>
        <v>3.9808917197452227E-2</v>
      </c>
      <c r="U55" s="27">
        <f t="shared" si="692"/>
        <v>0.35987261146496813</v>
      </c>
      <c r="V55" s="68">
        <v>25</v>
      </c>
      <c r="W55" s="26">
        <f t="shared" si="658"/>
        <v>913</v>
      </c>
      <c r="X55" s="27">
        <f t="shared" si="693"/>
        <v>2.7382256297918947E-2</v>
      </c>
      <c r="Y55" s="27">
        <f t="shared" si="694"/>
        <v>0.24753559693318725</v>
      </c>
      <c r="Z55" s="68">
        <v>25</v>
      </c>
      <c r="AA55" s="26">
        <f t="shared" si="659"/>
        <v>0</v>
      </c>
      <c r="AB55" s="27">
        <f t="shared" si="695"/>
        <v>0</v>
      </c>
      <c r="AC55" s="27">
        <f t="shared" si="696"/>
        <v>0</v>
      </c>
      <c r="AD55" s="68">
        <v>25</v>
      </c>
      <c r="AE55" s="26">
        <f t="shared" si="660"/>
        <v>523</v>
      </c>
      <c r="AF55" s="27">
        <f t="shared" si="600"/>
        <v>4.780114722753346E-2</v>
      </c>
      <c r="AG55" s="27">
        <f t="shared" si="601"/>
        <v>0.43212237093690242</v>
      </c>
      <c r="AH55" s="66">
        <v>25</v>
      </c>
      <c r="AI55" s="26">
        <f t="shared" si="661"/>
        <v>0</v>
      </c>
      <c r="AJ55" s="27">
        <f t="shared" si="697"/>
        <v>0</v>
      </c>
      <c r="AK55" s="27">
        <f t="shared" si="698"/>
        <v>0</v>
      </c>
      <c r="AL55" s="66">
        <v>25</v>
      </c>
      <c r="AM55" s="26">
        <f t="shared" si="662"/>
        <v>1004</v>
      </c>
      <c r="AN55" s="27">
        <f t="shared" si="699"/>
        <v>2.4900398406374501E-2</v>
      </c>
      <c r="AO55" s="27">
        <f t="shared" si="700"/>
        <v>0.22509960159362546</v>
      </c>
      <c r="AP55" s="66">
        <v>25</v>
      </c>
      <c r="AQ55" s="26">
        <f t="shared" si="663"/>
        <v>1157</v>
      </c>
      <c r="AR55" s="27">
        <f t="shared" si="701"/>
        <v>2.1607605877268798E-2</v>
      </c>
      <c r="AS55" s="27">
        <f t="shared" si="702"/>
        <v>0.1953327571305099</v>
      </c>
      <c r="AT55" s="66">
        <v>25</v>
      </c>
      <c r="AU55" s="26">
        <f t="shared" si="664"/>
        <v>0</v>
      </c>
      <c r="AV55" s="27">
        <f t="shared" si="703"/>
        <v>0</v>
      </c>
      <c r="AW55" s="27">
        <f t="shared" si="704"/>
        <v>0</v>
      </c>
      <c r="AX55" s="66">
        <v>25</v>
      </c>
      <c r="AY55" s="26">
        <f t="shared" si="665"/>
        <v>1046</v>
      </c>
      <c r="AZ55" s="27">
        <f t="shared" si="705"/>
        <v>2.390057361376673E-2</v>
      </c>
      <c r="BA55" s="27">
        <f t="shared" si="706"/>
        <v>0.21606118546845121</v>
      </c>
      <c r="BB55" s="66">
        <v>25</v>
      </c>
      <c r="BC55" s="26">
        <f t="shared" si="666"/>
        <v>0</v>
      </c>
      <c r="BD55" s="27">
        <f t="shared" si="707"/>
        <v>0</v>
      </c>
      <c r="BE55" s="27">
        <f t="shared" si="708"/>
        <v>0</v>
      </c>
      <c r="BF55" s="66">
        <v>25</v>
      </c>
      <c r="BG55" s="26">
        <f t="shared" si="667"/>
        <v>744</v>
      </c>
      <c r="BH55" s="27">
        <f t="shared" si="709"/>
        <v>3.3602150537634407E-2</v>
      </c>
      <c r="BI55" s="27">
        <f t="shared" si="710"/>
        <v>0.30376344086021501</v>
      </c>
      <c r="BJ55" s="66">
        <v>25</v>
      </c>
      <c r="BK55" s="26">
        <f t="shared" si="668"/>
        <v>1089</v>
      </c>
      <c r="BL55" s="27">
        <f t="shared" si="711"/>
        <v>2.2956841138659319E-2</v>
      </c>
      <c r="BM55" s="27">
        <f t="shared" si="712"/>
        <v>0.20752984389348023</v>
      </c>
      <c r="BN55" s="66">
        <v>25</v>
      </c>
      <c r="BO55" s="26">
        <f t="shared" si="669"/>
        <v>1083</v>
      </c>
      <c r="BP55" s="27">
        <f t="shared" si="713"/>
        <v>2.3084025854108958E-2</v>
      </c>
      <c r="BQ55" s="27">
        <f t="shared" si="714"/>
        <v>0.20867959372114497</v>
      </c>
      <c r="BR55" s="66">
        <v>25</v>
      </c>
      <c r="BS55" s="26">
        <f t="shared" si="670"/>
        <v>960</v>
      </c>
      <c r="BT55" s="27">
        <f t="shared" si="715"/>
        <v>2.6041666666666668E-2</v>
      </c>
      <c r="BU55" s="27">
        <f t="shared" si="716"/>
        <v>0.23541666666666666</v>
      </c>
      <c r="BV55" s="64">
        <v>25</v>
      </c>
      <c r="BW55" s="26">
        <f t="shared" si="671"/>
        <v>958</v>
      </c>
      <c r="BX55" s="27">
        <f t="shared" si="717"/>
        <v>2.6096033402922755E-2</v>
      </c>
      <c r="BY55" s="27">
        <f t="shared" si="718"/>
        <v>0.23590814196242169</v>
      </c>
      <c r="BZ55" s="64">
        <v>25</v>
      </c>
      <c r="CA55" s="26">
        <f t="shared" si="672"/>
        <v>345</v>
      </c>
      <c r="CB55" s="27">
        <f t="shared" si="719"/>
        <v>7.2463768115942032E-2</v>
      </c>
      <c r="CC55" s="27">
        <f t="shared" si="720"/>
        <v>0.6550724637681159</v>
      </c>
      <c r="CD55" s="66">
        <v>25</v>
      </c>
      <c r="CE55" s="26">
        <f t="shared" si="673"/>
        <v>801</v>
      </c>
      <c r="CF55" s="27">
        <f t="shared" si="721"/>
        <v>3.1210986267166042E-2</v>
      </c>
      <c r="CG55" s="27">
        <f t="shared" si="722"/>
        <v>0.28214731585518099</v>
      </c>
      <c r="CH55" s="66">
        <v>25</v>
      </c>
      <c r="CI55" s="26">
        <f t="shared" si="674"/>
        <v>0</v>
      </c>
      <c r="CJ55" s="27">
        <f t="shared" si="723"/>
        <v>0</v>
      </c>
      <c r="CK55" s="27">
        <f t="shared" si="724"/>
        <v>0</v>
      </c>
      <c r="CL55" s="62">
        <v>25</v>
      </c>
      <c r="CM55" s="26">
        <f t="shared" si="675"/>
        <v>1235</v>
      </c>
      <c r="CN55" s="27">
        <f t="shared" si="725"/>
        <v>2.0242914979757085E-2</v>
      </c>
      <c r="CO55" s="27">
        <f t="shared" si="726"/>
        <v>0.18299595141700403</v>
      </c>
      <c r="CP55" s="8">
        <v>25</v>
      </c>
      <c r="CQ55" s="26">
        <f t="shared" si="676"/>
        <v>1167</v>
      </c>
      <c r="CR55" s="27">
        <f t="shared" si="727"/>
        <v>2.1422450728363324E-2</v>
      </c>
      <c r="CS55" s="27">
        <f t="shared" si="728"/>
        <v>0.19365895458440444</v>
      </c>
      <c r="CT55" s="8">
        <v>25</v>
      </c>
      <c r="CU55" s="26">
        <f t="shared" si="677"/>
        <v>925</v>
      </c>
      <c r="CV55" s="27">
        <f t="shared" si="729"/>
        <v>2.7027027027027029E-2</v>
      </c>
      <c r="CW55" s="27">
        <f t="shared" si="730"/>
        <v>0.24432432432432433</v>
      </c>
      <c r="CX55" s="8">
        <v>25</v>
      </c>
      <c r="CY55" s="26">
        <f t="shared" si="678"/>
        <v>400</v>
      </c>
      <c r="CZ55" s="27">
        <f t="shared" si="731"/>
        <v>6.25E-2</v>
      </c>
      <c r="DA55" s="27">
        <f t="shared" si="732"/>
        <v>0.56499999999999995</v>
      </c>
      <c r="DB55" s="63">
        <v>25</v>
      </c>
      <c r="DC55" s="26">
        <f t="shared" si="679"/>
        <v>517</v>
      </c>
      <c r="DD55" s="27">
        <f t="shared" si="733"/>
        <v>4.8355899419729204E-2</v>
      </c>
      <c r="DE55" s="27">
        <f t="shared" si="734"/>
        <v>0.43713733075435196</v>
      </c>
      <c r="DF55" s="8">
        <v>25</v>
      </c>
      <c r="DG55" s="26">
        <f t="shared" si="680"/>
        <v>1125</v>
      </c>
      <c r="DH55" s="27">
        <f t="shared" si="735"/>
        <v>2.2222222222222223E-2</v>
      </c>
      <c r="DI55" s="27">
        <f t="shared" si="736"/>
        <v>0.20088888888888887</v>
      </c>
      <c r="DJ55" s="8">
        <v>25</v>
      </c>
      <c r="DK55" s="26">
        <f t="shared" si="681"/>
        <v>1063</v>
      </c>
      <c r="DL55" s="27">
        <f t="shared" si="737"/>
        <v>2.3518344308560677E-2</v>
      </c>
      <c r="DM55" s="27">
        <f t="shared" si="738"/>
        <v>0.2126058325493885</v>
      </c>
      <c r="DN55" s="8">
        <v>25</v>
      </c>
      <c r="DO55" s="26">
        <f t="shared" si="682"/>
        <v>764</v>
      </c>
      <c r="DP55" s="27">
        <f t="shared" si="739"/>
        <v>3.2722513089005235E-2</v>
      </c>
      <c r="DQ55" s="27">
        <f t="shared" si="740"/>
        <v>0.29581151832460728</v>
      </c>
      <c r="DR55" s="8">
        <v>25</v>
      </c>
      <c r="DS55" s="26">
        <f t="shared" si="683"/>
        <v>684</v>
      </c>
      <c r="DT55" s="27">
        <f t="shared" si="741"/>
        <v>3.6549707602339179E-2</v>
      </c>
      <c r="DU55" s="27">
        <f t="shared" si="742"/>
        <v>0.33040935672514615</v>
      </c>
      <c r="DV55" s="8"/>
      <c r="DW55" s="26">
        <f t="shared" si="684"/>
        <v>0</v>
      </c>
      <c r="DX55" s="27">
        <f t="shared" si="648"/>
        <v>0</v>
      </c>
      <c r="DY55" s="27">
        <f t="shared" si="649"/>
        <v>0</v>
      </c>
      <c r="DZ55" s="28">
        <f t="shared" si="650"/>
        <v>750</v>
      </c>
      <c r="EA55" s="28">
        <f t="shared" si="651"/>
        <v>19205</v>
      </c>
      <c r="EB55" s="33">
        <f t="shared" si="652"/>
        <v>3.9052330122363969E-2</v>
      </c>
      <c r="EC55" s="33">
        <f t="shared" si="653"/>
        <v>0.35303306430617026</v>
      </c>
    </row>
    <row r="56" spans="2:133" s="46" customFormat="1" ht="25.5" x14ac:dyDescent="0.35">
      <c r="D56" s="35" t="s">
        <v>333</v>
      </c>
      <c r="E56" s="47"/>
      <c r="F56" s="37">
        <f>SUM(F44:F55)</f>
        <v>298</v>
      </c>
      <c r="G56" s="37">
        <f t="shared" ref="G56:BQ56" si="743">SUM(G44:G55)</f>
        <v>0</v>
      </c>
      <c r="H56" s="39">
        <f t="shared" si="743"/>
        <v>0</v>
      </c>
      <c r="I56" s="39">
        <f t="shared" si="743"/>
        <v>0</v>
      </c>
      <c r="J56" s="37">
        <f>SUM(J44:J55)</f>
        <v>746</v>
      </c>
      <c r="K56" s="37">
        <f t="shared" si="743"/>
        <v>0</v>
      </c>
      <c r="L56" s="39">
        <f t="shared" si="743"/>
        <v>0</v>
      </c>
      <c r="M56" s="39">
        <f t="shared" si="743"/>
        <v>0</v>
      </c>
      <c r="N56" s="37">
        <f>SUM(N44:N55)</f>
        <v>807</v>
      </c>
      <c r="O56" s="37">
        <f t="shared" si="743"/>
        <v>7164</v>
      </c>
      <c r="P56" s="39">
        <f t="shared" si="743"/>
        <v>1.3517587939698494</v>
      </c>
      <c r="Q56" s="39">
        <f t="shared" si="743"/>
        <v>12.219899497487436</v>
      </c>
      <c r="R56" s="37">
        <f>SUM(R44:R55)</f>
        <v>871</v>
      </c>
      <c r="S56" s="37">
        <f t="shared" si="743"/>
        <v>7536</v>
      </c>
      <c r="T56" s="39">
        <f t="shared" si="743"/>
        <v>1.3869426751592357</v>
      </c>
      <c r="U56" s="39">
        <f t="shared" si="743"/>
        <v>12.537961783439489</v>
      </c>
      <c r="V56" s="37">
        <f>SUM(V44:V55)</f>
        <v>842</v>
      </c>
      <c r="W56" s="37">
        <f t="shared" si="743"/>
        <v>10956</v>
      </c>
      <c r="X56" s="39">
        <f t="shared" si="743"/>
        <v>0.92223439211391012</v>
      </c>
      <c r="Y56" s="39">
        <f t="shared" si="743"/>
        <v>8.3369989047097448</v>
      </c>
      <c r="Z56" s="37">
        <f>SUM(Z44:Z55)</f>
        <v>391</v>
      </c>
      <c r="AA56" s="37">
        <f t="shared" si="743"/>
        <v>0</v>
      </c>
      <c r="AB56" s="39">
        <f t="shared" si="743"/>
        <v>0</v>
      </c>
      <c r="AC56" s="39">
        <f t="shared" si="743"/>
        <v>0</v>
      </c>
      <c r="AD56" s="37">
        <f>SUM(AD44:AD55)</f>
        <v>668</v>
      </c>
      <c r="AE56" s="37">
        <f t="shared" si="743"/>
        <v>6276</v>
      </c>
      <c r="AF56" s="39">
        <f t="shared" si="743"/>
        <v>1.2772466539196943</v>
      </c>
      <c r="AG56" s="39">
        <f t="shared" si="743"/>
        <v>11.546309751434032</v>
      </c>
      <c r="AH56" s="37">
        <f>SUM(AH44:AH55)</f>
        <v>784</v>
      </c>
      <c r="AI56" s="37">
        <f t="shared" si="743"/>
        <v>0</v>
      </c>
      <c r="AJ56" s="39">
        <f t="shared" si="743"/>
        <v>0</v>
      </c>
      <c r="AK56" s="39">
        <f t="shared" si="743"/>
        <v>0</v>
      </c>
      <c r="AL56" s="37">
        <f>SUM(AL44:AL55)</f>
        <v>831</v>
      </c>
      <c r="AM56" s="37">
        <f t="shared" si="743"/>
        <v>12048</v>
      </c>
      <c r="AN56" s="39">
        <f t="shared" si="743"/>
        <v>0.82768924302788827</v>
      </c>
      <c r="AO56" s="39">
        <f t="shared" si="743"/>
        <v>7.4823107569721108</v>
      </c>
      <c r="AP56" s="37">
        <f>SUM(AP44:AP55)</f>
        <v>831</v>
      </c>
      <c r="AQ56" s="37">
        <f t="shared" ref="AQ56" si="744">SUM(AQ44:AQ55)</f>
        <v>13884</v>
      </c>
      <c r="AR56" s="39">
        <f t="shared" si="743"/>
        <v>0.71823681936041495</v>
      </c>
      <c r="AS56" s="39">
        <f t="shared" si="743"/>
        <v>6.4928608470181493</v>
      </c>
      <c r="AT56" s="37">
        <f>SUM(AT44:AT55)</f>
        <v>785</v>
      </c>
      <c r="AU56" s="37">
        <f t="shared" ref="AU56" si="745">SUM(AU44:AU55)</f>
        <v>0</v>
      </c>
      <c r="AV56" s="39">
        <f t="shared" si="743"/>
        <v>0</v>
      </c>
      <c r="AW56" s="39">
        <f t="shared" si="743"/>
        <v>0</v>
      </c>
      <c r="AX56" s="37">
        <f>SUM(AX44:AX55)</f>
        <v>785</v>
      </c>
      <c r="AY56" s="37">
        <f t="shared" si="743"/>
        <v>12552</v>
      </c>
      <c r="AZ56" s="39">
        <f t="shared" si="743"/>
        <v>0.75047801147227522</v>
      </c>
      <c r="BA56" s="39">
        <f t="shared" si="743"/>
        <v>6.7843212237093686</v>
      </c>
      <c r="BB56" s="37">
        <f>SUM(BB44:BB55)</f>
        <v>678</v>
      </c>
      <c r="BC56" s="37">
        <f t="shared" si="743"/>
        <v>0</v>
      </c>
      <c r="BD56" s="39">
        <f t="shared" si="743"/>
        <v>0</v>
      </c>
      <c r="BE56" s="39">
        <f t="shared" si="743"/>
        <v>0</v>
      </c>
      <c r="BF56" s="37">
        <f>SUM(BF44:BF55)</f>
        <v>544</v>
      </c>
      <c r="BG56" s="37">
        <f t="shared" si="743"/>
        <v>8928</v>
      </c>
      <c r="BH56" s="39">
        <f t="shared" si="743"/>
        <v>0.73118279569892464</v>
      </c>
      <c r="BI56" s="39">
        <f t="shared" si="743"/>
        <v>6.6098924731182791</v>
      </c>
      <c r="BJ56" s="37">
        <f>SUM(BJ44:BJ55)</f>
        <v>828</v>
      </c>
      <c r="BK56" s="37">
        <f t="shared" si="743"/>
        <v>13068</v>
      </c>
      <c r="BL56" s="39">
        <f t="shared" si="743"/>
        <v>0.76033057851239672</v>
      </c>
      <c r="BM56" s="39">
        <f t="shared" si="743"/>
        <v>6.8733884297520653</v>
      </c>
      <c r="BN56" s="37">
        <f>SUM(BN44:BN55)</f>
        <v>808</v>
      </c>
      <c r="BO56" s="37">
        <f t="shared" si="743"/>
        <v>12996</v>
      </c>
      <c r="BP56" s="39">
        <f t="shared" si="743"/>
        <v>0.74607571560480168</v>
      </c>
      <c r="BQ56" s="39">
        <f t="shared" si="743"/>
        <v>6.7445244690674055</v>
      </c>
      <c r="BR56" s="37">
        <f>SUM(BR44:BR55)</f>
        <v>783</v>
      </c>
      <c r="BS56" s="37">
        <f t="shared" ref="BS56" si="746">SUM(BS44:BS55)</f>
        <v>11520</v>
      </c>
      <c r="BT56" s="39">
        <f t="shared" ref="BT56:EC56" si="747">SUM(BT44:BT55)</f>
        <v>0.81562499999999993</v>
      </c>
      <c r="BU56" s="39">
        <f t="shared" si="747"/>
        <v>7.3732499999999987</v>
      </c>
      <c r="BV56" s="37">
        <f>SUM(BV44:BV55)</f>
        <v>800</v>
      </c>
      <c r="BW56" s="37">
        <f t="shared" si="747"/>
        <v>11496</v>
      </c>
      <c r="BX56" s="39">
        <f t="shared" si="747"/>
        <v>0.83507306889352839</v>
      </c>
      <c r="BY56" s="39">
        <f t="shared" si="747"/>
        <v>7.5490605427974922</v>
      </c>
      <c r="BZ56" s="37">
        <f>SUM(BZ44:BZ55)</f>
        <v>786</v>
      </c>
      <c r="CA56" s="37">
        <f t="shared" si="747"/>
        <v>4140</v>
      </c>
      <c r="CB56" s="39">
        <f t="shared" si="747"/>
        <v>2.2782608695652176</v>
      </c>
      <c r="CC56" s="39">
        <f t="shared" si="747"/>
        <v>20.595478260869559</v>
      </c>
      <c r="CD56" s="37">
        <f>SUM(CD44:CD55)</f>
        <v>829</v>
      </c>
      <c r="CE56" s="37">
        <f t="shared" si="747"/>
        <v>9612</v>
      </c>
      <c r="CF56" s="39">
        <f t="shared" si="747"/>
        <v>1.0349563046192263</v>
      </c>
      <c r="CG56" s="39">
        <f t="shared" si="747"/>
        <v>9.3560049937578</v>
      </c>
      <c r="CH56" s="37">
        <f>SUM(CH44:CH55)</f>
        <v>497</v>
      </c>
      <c r="CI56" s="37">
        <f t="shared" si="747"/>
        <v>0</v>
      </c>
      <c r="CJ56" s="39">
        <f t="shared" si="747"/>
        <v>0</v>
      </c>
      <c r="CK56" s="39">
        <f t="shared" si="747"/>
        <v>0</v>
      </c>
      <c r="CL56" s="37">
        <f>SUM(CL44:CL55)</f>
        <v>889</v>
      </c>
      <c r="CM56" s="37">
        <f t="shared" si="747"/>
        <v>14820</v>
      </c>
      <c r="CN56" s="39">
        <f t="shared" si="747"/>
        <v>0.71983805668016188</v>
      </c>
      <c r="CO56" s="39">
        <f t="shared" si="747"/>
        <v>6.5073360323886629</v>
      </c>
      <c r="CP56" s="37">
        <f>SUM(CP44:CP55)</f>
        <v>946</v>
      </c>
      <c r="CQ56" s="37">
        <f t="shared" si="747"/>
        <v>14004</v>
      </c>
      <c r="CR56" s="39">
        <f t="shared" si="747"/>
        <v>0.81062553556126815</v>
      </c>
      <c r="CS56" s="39">
        <f t="shared" si="747"/>
        <v>7.3280548414738638</v>
      </c>
      <c r="CT56" s="37">
        <f>SUM(CT44:CT55)</f>
        <v>845</v>
      </c>
      <c r="CU56" s="37">
        <f t="shared" si="747"/>
        <v>11100</v>
      </c>
      <c r="CV56" s="39">
        <f t="shared" si="747"/>
        <v>0.91351351351351351</v>
      </c>
      <c r="CW56" s="39">
        <f t="shared" si="747"/>
        <v>8.2581621621621615</v>
      </c>
      <c r="CX56" s="37">
        <f>SUM(CX44:CX55)</f>
        <v>876</v>
      </c>
      <c r="CY56" s="37">
        <f t="shared" si="747"/>
        <v>4800</v>
      </c>
      <c r="CZ56" s="39">
        <f t="shared" si="747"/>
        <v>2.1900000000000004</v>
      </c>
      <c r="DA56" s="39">
        <f t="shared" si="747"/>
        <v>19.797600000000003</v>
      </c>
      <c r="DB56" s="37">
        <f>SUM(DB44:DB55)</f>
        <v>879</v>
      </c>
      <c r="DC56" s="37">
        <f t="shared" si="747"/>
        <v>6204</v>
      </c>
      <c r="DD56" s="39">
        <f t="shared" si="747"/>
        <v>1.700193423597679</v>
      </c>
      <c r="DE56" s="39">
        <f t="shared" si="747"/>
        <v>15.369748549323017</v>
      </c>
      <c r="DF56" s="37">
        <f>SUM(DF44:DF55)</f>
        <v>877</v>
      </c>
      <c r="DG56" s="37">
        <f t="shared" si="747"/>
        <v>13500</v>
      </c>
      <c r="DH56" s="39">
        <f t="shared" si="747"/>
        <v>0.77955555555555567</v>
      </c>
      <c r="DI56" s="39">
        <f t="shared" si="747"/>
        <v>7.0471822222222213</v>
      </c>
      <c r="DJ56" s="37">
        <f>SUM(DJ44:DJ55)</f>
        <v>736</v>
      </c>
      <c r="DK56" s="37">
        <f t="shared" si="747"/>
        <v>12756</v>
      </c>
      <c r="DL56" s="39">
        <f t="shared" si="747"/>
        <v>0.69238005644402634</v>
      </c>
      <c r="DM56" s="39">
        <f t="shared" si="747"/>
        <v>6.2591157102539965</v>
      </c>
      <c r="DN56" s="37">
        <f>SUM(DN44:DN55)</f>
        <v>951</v>
      </c>
      <c r="DO56" s="37">
        <f t="shared" si="747"/>
        <v>9168</v>
      </c>
      <c r="DP56" s="39">
        <f t="shared" si="747"/>
        <v>1.2447643979057592</v>
      </c>
      <c r="DQ56" s="39">
        <f t="shared" si="747"/>
        <v>11.252670157068058</v>
      </c>
      <c r="DR56" s="37">
        <f>SUM(DR44:DR55)</f>
        <v>870</v>
      </c>
      <c r="DS56" s="37">
        <f t="shared" si="747"/>
        <v>8208</v>
      </c>
      <c r="DT56" s="39">
        <f t="shared" si="747"/>
        <v>1.2719298245614035</v>
      </c>
      <c r="DU56" s="39">
        <f t="shared" si="747"/>
        <v>11.498245614035087</v>
      </c>
      <c r="DV56" s="37">
        <f>SUM(DV44:DV55)</f>
        <v>0</v>
      </c>
      <c r="DW56" s="37">
        <f t="shared" ref="DW56" si="748">SUM(DW44:DW55)</f>
        <v>0</v>
      </c>
      <c r="DX56" s="39">
        <f t="shared" ref="DX56" si="749">SUM(DX44:DX55)</f>
        <v>0</v>
      </c>
      <c r="DY56" s="39">
        <f t="shared" ref="DY56" si="750">SUM(DY44:DY55)</f>
        <v>0</v>
      </c>
      <c r="DZ56" s="37">
        <f t="shared" si="747"/>
        <v>23061</v>
      </c>
      <c r="EA56" s="37">
        <f t="shared" si="747"/>
        <v>230460</v>
      </c>
      <c r="EB56" s="39">
        <f t="shared" si="747"/>
        <v>1.2007810466024471</v>
      </c>
      <c r="EC56" s="39">
        <f t="shared" si="747"/>
        <v>10.855060661286123</v>
      </c>
    </row>
    <row r="57" spans="2:133" s="46" customFormat="1" ht="25.5" x14ac:dyDescent="0.35">
      <c r="D57" s="35" t="s">
        <v>341</v>
      </c>
      <c r="E57" s="47"/>
      <c r="F57" s="37">
        <f>SUM(F44:F55)+F42+SUM(F36:F40,F28:F33,F20:F25,F11:F18,F3:F8)</f>
        <v>340</v>
      </c>
      <c r="G57" s="37"/>
      <c r="H57" s="39"/>
      <c r="I57" s="39"/>
      <c r="J57" s="37">
        <f>SUM(J44:J55)+J42+SUM(J36:J40,J28:J33,J20:J25,J11:J18,J3:J8)</f>
        <v>2896</v>
      </c>
      <c r="K57" s="37"/>
      <c r="L57" s="39"/>
      <c r="M57" s="39"/>
      <c r="N57" s="37">
        <f>SUM(N44:N55)+N42+SUM(N36:N40,N28:N33,N20:N25,N11:N18,N3:N8)</f>
        <v>3028</v>
      </c>
      <c r="O57" s="37"/>
      <c r="P57" s="39"/>
      <c r="Q57" s="39"/>
      <c r="R57" s="37">
        <f>SUM(R44:R55)+R42+SUM(R36:R40,R28:R33,R20:R25,R11:R18,R3:R8)</f>
        <v>3322</v>
      </c>
      <c r="S57" s="37"/>
      <c r="T57" s="39"/>
      <c r="U57" s="39"/>
      <c r="V57" s="37">
        <f>SUM(V44:V55)+V42+SUM(V36:V40,V28:V33,V20:V25,V11:V18,V3:V8)</f>
        <v>3177</v>
      </c>
      <c r="W57" s="37"/>
      <c r="X57" s="39"/>
      <c r="Y57" s="39"/>
      <c r="Z57" s="37">
        <f>SUM(Z44:Z55)+Z42+SUM(Z36:Z40,Z28:Z33,Z20:Z25,Z11:Z18,Z3:Z8)</f>
        <v>533</v>
      </c>
      <c r="AA57" s="37"/>
      <c r="AB57" s="39"/>
      <c r="AC57" s="39"/>
      <c r="AD57" s="37">
        <f>SUM(AD44:AD55)+AD42+SUM(AD36:AD40,AD28:AD33,AD20:AD25,AD11:AD18,AD3:AD8)</f>
        <v>2559</v>
      </c>
      <c r="AE57" s="37"/>
      <c r="AF57" s="39"/>
      <c r="AG57" s="39"/>
      <c r="AH57" s="37">
        <f>SUM(AH44:AH55)+AH42+SUM(AH36:AH40,AH28:AH33,AH20:AH25,AH11:AH18,AH3:AH8)</f>
        <v>2948</v>
      </c>
      <c r="AI57" s="37"/>
      <c r="AJ57" s="39"/>
      <c r="AK57" s="39"/>
      <c r="AL57" s="37">
        <f>SUM(AL44:AL55)+AL42+SUM(AL36:AL40,AL28:AL33,AL20:AL25,AL11:AL18,AL3:AL8)</f>
        <v>3279</v>
      </c>
      <c r="AM57" s="37"/>
      <c r="AN57" s="39"/>
      <c r="AO57" s="39"/>
      <c r="AP57" s="37">
        <f>SUM(AP44:AP55)+AP42+SUM(AP36:AP40,AP28:AP33,AP20:AP25,AP11:AP18,AP3:AP8)</f>
        <v>2714</v>
      </c>
      <c r="AQ57" s="37"/>
      <c r="AR57" s="39"/>
      <c r="AS57" s="39"/>
      <c r="AT57" s="37">
        <f>SUM(AT44:AT55)+AT42+SUM(AT36:AT40,AT28:AT33,AT20:AT25,AT11:AT18,AT3:AT8)</f>
        <v>3158</v>
      </c>
      <c r="AU57" s="37"/>
      <c r="AV57" s="39"/>
      <c r="AW57" s="39"/>
      <c r="AX57" s="37">
        <f>SUM(AX44:AX55)+AX42+SUM(AX36:AX40,AX28:AX33,AX20:AX25,AX11:AX18,AX3:AX8)</f>
        <v>3061</v>
      </c>
      <c r="AY57" s="37"/>
      <c r="AZ57" s="39"/>
      <c r="BA57" s="39"/>
      <c r="BB57" s="37">
        <f>SUM(BB44:BB55)+BB42+SUM(BB36:BB40,BB28:BB33,BB20:BB25,BB11:BB18,BB3:BB8)</f>
        <v>3294</v>
      </c>
      <c r="BC57" s="37"/>
      <c r="BD57" s="39"/>
      <c r="BE57" s="39"/>
      <c r="BF57" s="37">
        <f>SUM(BF44:BF55)+BF42+SUM(BF36:BF40,BF28:BF33,BF20:BF25,BF11:BF18,BF3:BF8)</f>
        <v>1691</v>
      </c>
      <c r="BG57" s="37"/>
      <c r="BH57" s="39"/>
      <c r="BI57" s="39"/>
      <c r="BJ57" s="37">
        <f>SUM(BJ44:BJ55)+BJ42+SUM(BJ36:BJ40,BJ28:BJ33,BJ20:BJ25,BJ11:BJ18,BJ3:BJ8)</f>
        <v>3208</v>
      </c>
      <c r="BK57" s="37"/>
      <c r="BL57" s="39"/>
      <c r="BM57" s="39"/>
      <c r="BN57" s="37">
        <f>SUM(BN44:BN55)+BN42+SUM(BN36:BN40,BN28:BN33,BN20:BN25,BN11:BN18,BN3:BN8)</f>
        <v>3463</v>
      </c>
      <c r="BO57" s="37"/>
      <c r="BP57" s="39"/>
      <c r="BQ57" s="39"/>
      <c r="BR57" s="37">
        <f>SUM(BR44:BR55)+BR42+SUM(BR36:BR40,BR28:BR33,BR20:BR25,BR11:BR18,BR3:BR8)</f>
        <v>3251</v>
      </c>
      <c r="BS57" s="37"/>
      <c r="BT57" s="39"/>
      <c r="BU57" s="39"/>
      <c r="BV57" s="37">
        <f>SUM(BV44:BV55)+BV42+SUM(BV36:BV40,BV28:BV33,BV20:BV25,BV11:BV18,BV3:BV8)</f>
        <v>3259</v>
      </c>
      <c r="BW57" s="37"/>
      <c r="BX57" s="39"/>
      <c r="BY57" s="39"/>
      <c r="BZ57" s="37">
        <f>SUM(BZ44:BZ55)+BZ42+SUM(BZ36:BZ40,BZ28:BZ33,BZ20:BZ25,BZ11:BZ18,BZ3:BZ8)</f>
        <v>3485</v>
      </c>
      <c r="CA57" s="37"/>
      <c r="CB57" s="39"/>
      <c r="CC57" s="39"/>
      <c r="CD57" s="37">
        <f>SUM(CD44:CD55)+CD42+SUM(CD36:CD40,CD28:CD33,CD20:CD25,CD11:CD18,CD3:CD8)</f>
        <v>3243</v>
      </c>
      <c r="CE57" s="37"/>
      <c r="CF57" s="39"/>
      <c r="CG57" s="39"/>
      <c r="CH57" s="37">
        <f>SUM(CH44:CH55)+CH42+SUM(CH36:CH40,CH28:CH33,CH20:CH25,CH11:CH18,CH3:CH8)</f>
        <v>1264</v>
      </c>
      <c r="CI57" s="37"/>
      <c r="CJ57" s="39"/>
      <c r="CK57" s="39"/>
      <c r="CL57" s="37">
        <f>SUM(CL44:CL55)+CL42+SUM(CL36:CL40,CL28:CL33,CL20:CL25,CL11:CL18,CL3:CL8)</f>
        <v>3330</v>
      </c>
      <c r="CM57" s="37"/>
      <c r="CN57" s="39"/>
      <c r="CO57" s="39"/>
      <c r="CP57" s="37">
        <f>SUM(CP44:CP55)+CP42+SUM(CP36:CP40,CP28:CP33,CP20:CP25,CP11:CP18,CP3:CP8)</f>
        <v>3291</v>
      </c>
      <c r="CQ57" s="37"/>
      <c r="CR57" s="39"/>
      <c r="CS57" s="39"/>
      <c r="CT57" s="37">
        <f>SUM(CT44:CT55)+CT42+SUM(CT36:CT40,CT28:CT33,CT20:CT25,CT11:CT18,CT3:CT8)</f>
        <v>3424</v>
      </c>
      <c r="CU57" s="37"/>
      <c r="CV57" s="39"/>
      <c r="CW57" s="39"/>
      <c r="CX57" s="37">
        <f>SUM(CX44:CX55)+CX42+SUM(CX36:CX40,CX28:CX33,CX20:CX25,CX11:CX18,CX3:CX8)</f>
        <v>3055</v>
      </c>
      <c r="CY57" s="37"/>
      <c r="CZ57" s="39"/>
      <c r="DA57" s="39"/>
      <c r="DB57" s="37">
        <f>SUM(DB44:DB55)+DB42+SUM(DB36:DB40,DB28:DB33,DB20:DB25,DB11:DB18,DB3:DB8)</f>
        <v>3122</v>
      </c>
      <c r="DC57" s="37"/>
      <c r="DD57" s="39"/>
      <c r="DE57" s="39"/>
      <c r="DF57" s="37">
        <f>SUM(DF44:DF55)+DF42+SUM(DF36:DF40,DF28:DF33,DF20:DF25,DF11:DF18,DF3:DF8)</f>
        <v>3336</v>
      </c>
      <c r="DG57" s="37"/>
      <c r="DH57" s="39"/>
      <c r="DI57" s="39"/>
      <c r="DJ57" s="37">
        <f>SUM(DJ44:DJ55)+DJ42+SUM(DJ36:DJ40,DJ28:DJ33,DJ20:DJ25,DJ11:DJ18,DJ3:DJ8)</f>
        <v>2375</v>
      </c>
      <c r="DK57" s="37"/>
      <c r="DL57" s="39"/>
      <c r="DM57" s="39"/>
      <c r="DN57" s="37">
        <f>SUM(DN44:DN55)+DN42+SUM(DN36:DN40,DN28:DN33,DN20:DN25,DN11:DN18,DN3:DN8)</f>
        <v>3603</v>
      </c>
      <c r="DO57" s="37"/>
      <c r="DP57" s="39"/>
      <c r="DQ57" s="39"/>
      <c r="DR57" s="37">
        <f>SUM(DR44:DR55)+DR42+SUM(DR36:DR40,DR28:DR33,DR20:DR25,DR11:DR18,DR3:DR8)</f>
        <v>2253</v>
      </c>
      <c r="DS57" s="37"/>
      <c r="DT57" s="39"/>
      <c r="DU57" s="39"/>
      <c r="DV57" s="37">
        <f>SUM(DV44:DV55)+DV42+SUM(DV36:DV40,DV28:DV33,DV20:DV25,DV11:DV18,DV3:DV8)</f>
        <v>0</v>
      </c>
      <c r="DW57" s="37"/>
      <c r="DX57" s="39"/>
      <c r="DY57" s="39"/>
      <c r="DZ57" s="37">
        <f>SUM(DZ44:DZ55)+DZ42+SUM(DZ36:DZ40,DZ28:DZ33,DZ20:DZ25,DZ11:DZ18,DZ3:DZ8)</f>
        <v>84962</v>
      </c>
      <c r="EA57" s="37"/>
      <c r="EB57" s="39"/>
      <c r="EC57" s="39"/>
    </row>
    <row r="58" spans="2:133" ht="18" x14ac:dyDescent="0.25">
      <c r="D58" s="52"/>
      <c r="E58" s="53"/>
      <c r="AL58" s="54"/>
      <c r="CP58" s="54"/>
      <c r="DZ58" s="54"/>
      <c r="EA58" s="54"/>
    </row>
    <row r="59" spans="2:133" ht="18" x14ac:dyDescent="0.25">
      <c r="D59" s="52"/>
      <c r="E59" s="53"/>
      <c r="AL59" s="54"/>
      <c r="CP59" s="54"/>
      <c r="DZ59" s="54"/>
      <c r="EA59" s="54"/>
    </row>
    <row r="60" spans="2:133" ht="18" x14ac:dyDescent="0.25">
      <c r="D60" s="52"/>
      <c r="E60" s="53"/>
      <c r="AL60" s="54"/>
      <c r="CP60" s="54"/>
      <c r="DZ60" s="54"/>
      <c r="EA60" s="54"/>
    </row>
    <row r="61" spans="2:133" ht="18" x14ac:dyDescent="0.25">
      <c r="D61" s="52"/>
      <c r="E61" s="53"/>
      <c r="AL61" s="54"/>
      <c r="CP61" s="54"/>
      <c r="DZ61" s="54"/>
      <c r="EA61" s="54"/>
    </row>
    <row r="62" spans="2:133" ht="18" x14ac:dyDescent="0.25">
      <c r="D62" s="52"/>
      <c r="E62" s="53"/>
      <c r="AL62" s="54"/>
      <c r="CP62" s="54"/>
      <c r="DZ62" s="54"/>
      <c r="EA62" s="54"/>
    </row>
    <row r="63" spans="2:133" ht="18" x14ac:dyDescent="0.25">
      <c r="D63" s="52"/>
      <c r="E63" s="53"/>
      <c r="AL63" s="54"/>
      <c r="CP63" s="54"/>
      <c r="DZ63" s="54"/>
      <c r="EA63" s="54"/>
    </row>
    <row r="64" spans="2:133" ht="18" x14ac:dyDescent="0.25">
      <c r="D64" s="52"/>
      <c r="E64" s="53"/>
      <c r="AL64" s="54"/>
      <c r="CP64" s="54"/>
      <c r="DZ64" s="54"/>
      <c r="EA64" s="54"/>
    </row>
    <row r="65" spans="4:131" ht="18" x14ac:dyDescent="0.25">
      <c r="D65" s="52"/>
      <c r="E65" s="53"/>
      <c r="AL65" s="54"/>
      <c r="CP65" s="54"/>
      <c r="DZ65" s="54"/>
      <c r="EA65" s="54"/>
    </row>
    <row r="66" spans="4:131" ht="18" x14ac:dyDescent="0.25">
      <c r="D66" s="52"/>
      <c r="E66" s="53"/>
      <c r="AL66" s="54"/>
      <c r="CP66" s="54"/>
      <c r="DZ66" s="54"/>
      <c r="EA66" s="54"/>
    </row>
    <row r="67" spans="4:131" ht="18" x14ac:dyDescent="0.25">
      <c r="D67" s="52"/>
      <c r="E67" s="53"/>
      <c r="AL67" s="54"/>
      <c r="CP67" s="54"/>
      <c r="DZ67" s="54"/>
      <c r="EA67" s="54"/>
    </row>
    <row r="68" spans="4:131" ht="18" x14ac:dyDescent="0.25">
      <c r="D68" s="52"/>
      <c r="E68" s="53"/>
      <c r="AL68" s="54"/>
      <c r="CP68" s="54"/>
      <c r="DZ68" s="54"/>
      <c r="EA68" s="54"/>
    </row>
    <row r="69" spans="4:131" ht="18" x14ac:dyDescent="0.25">
      <c r="D69" s="52"/>
      <c r="E69" s="53"/>
      <c r="AL69" s="54"/>
      <c r="CP69" s="54"/>
      <c r="DZ69" s="54"/>
      <c r="EA69" s="54"/>
    </row>
    <row r="70" spans="4:131" ht="18" x14ac:dyDescent="0.25">
      <c r="D70" s="52"/>
      <c r="E70" s="53"/>
      <c r="AL70" s="54"/>
      <c r="CP70" s="54"/>
      <c r="DZ70" s="54"/>
      <c r="EA70" s="54"/>
    </row>
    <row r="71" spans="4:131" ht="18" x14ac:dyDescent="0.25">
      <c r="D71" s="52"/>
      <c r="E71" s="53"/>
      <c r="AL71" s="54"/>
      <c r="CP71" s="54"/>
      <c r="DZ71" s="54"/>
      <c r="EA71" s="54"/>
    </row>
    <row r="72" spans="4:131" ht="18" x14ac:dyDescent="0.25">
      <c r="D72" s="52"/>
      <c r="E72" s="53"/>
      <c r="AL72" s="54"/>
      <c r="CP72" s="54"/>
      <c r="DZ72" s="54"/>
      <c r="EA72" s="54"/>
    </row>
    <row r="73" spans="4:131" ht="18" x14ac:dyDescent="0.25">
      <c r="D73" s="52"/>
      <c r="E73" s="53"/>
      <c r="AL73" s="54"/>
      <c r="CP73" s="54"/>
      <c r="DZ73" s="54"/>
      <c r="EA73" s="54"/>
    </row>
    <row r="74" spans="4:131" ht="18" x14ac:dyDescent="0.25">
      <c r="D74" s="52"/>
      <c r="E74" s="53"/>
      <c r="AL74" s="54"/>
      <c r="CP74" s="54"/>
      <c r="DZ74" s="54"/>
      <c r="EA74" s="54"/>
    </row>
    <row r="75" spans="4:131" ht="18" x14ac:dyDescent="0.25">
      <c r="D75" s="52"/>
      <c r="E75" s="53"/>
      <c r="AL75" s="54"/>
      <c r="CP75" s="54"/>
      <c r="DZ75" s="54"/>
      <c r="EA75" s="54"/>
    </row>
    <row r="76" spans="4:131" ht="18" x14ac:dyDescent="0.25">
      <c r="D76" s="52"/>
      <c r="E76" s="53"/>
      <c r="AL76" s="54"/>
      <c r="CP76" s="54"/>
      <c r="DZ76" s="54"/>
      <c r="EA76" s="54"/>
    </row>
    <row r="77" spans="4:131" ht="18" x14ac:dyDescent="0.25">
      <c r="D77" s="52"/>
      <c r="E77" s="53"/>
      <c r="AL77" s="54"/>
      <c r="CP77" s="54"/>
      <c r="DZ77" s="54"/>
      <c r="EA77" s="54"/>
    </row>
    <row r="78" spans="4:131" ht="18" x14ac:dyDescent="0.25">
      <c r="D78" s="52"/>
      <c r="E78" s="53"/>
      <c r="AL78" s="54"/>
      <c r="CP78" s="54"/>
      <c r="DZ78" s="54"/>
      <c r="EA78" s="54"/>
    </row>
    <row r="79" spans="4:131" ht="18" x14ac:dyDescent="0.25">
      <c r="D79" s="52"/>
      <c r="E79" s="53"/>
      <c r="AL79" s="54"/>
      <c r="CP79" s="54"/>
      <c r="DZ79" s="54"/>
      <c r="EA79" s="54"/>
    </row>
    <row r="80" spans="4:131" ht="18" x14ac:dyDescent="0.25">
      <c r="D80" s="52"/>
      <c r="E80" s="53"/>
      <c r="AL80" s="54"/>
      <c r="CP80" s="54"/>
      <c r="DZ80" s="54"/>
      <c r="EA80" s="54"/>
    </row>
    <row r="81" spans="4:131" ht="18" x14ac:dyDescent="0.25">
      <c r="D81" s="52"/>
      <c r="E81" s="53"/>
      <c r="AL81" s="54"/>
      <c r="CP81" s="54"/>
      <c r="DZ81" s="54"/>
      <c r="EA81" s="54"/>
    </row>
    <row r="82" spans="4:131" ht="18" x14ac:dyDescent="0.25">
      <c r="D82" s="52"/>
      <c r="E82" s="53"/>
      <c r="AL82" s="54"/>
      <c r="CP82" s="54"/>
      <c r="DZ82" s="54"/>
      <c r="EA82" s="54"/>
    </row>
    <row r="83" spans="4:131" ht="18" x14ac:dyDescent="0.25">
      <c r="D83" s="52"/>
      <c r="E83" s="53"/>
      <c r="AL83" s="54"/>
      <c r="CP83" s="54"/>
      <c r="DZ83" s="54"/>
      <c r="EA83" s="54"/>
    </row>
    <row r="84" spans="4:131" ht="18" x14ac:dyDescent="0.25">
      <c r="D84" s="52"/>
      <c r="E84" s="53"/>
      <c r="AL84" s="54"/>
      <c r="CP84" s="54"/>
      <c r="DZ84" s="54"/>
      <c r="EA84" s="54"/>
    </row>
    <row r="85" spans="4:131" ht="18" x14ac:dyDescent="0.25">
      <c r="D85" s="52"/>
      <c r="E85" s="53"/>
      <c r="AL85" s="54"/>
      <c r="CP85" s="54"/>
      <c r="DZ85" s="54"/>
      <c r="EA85" s="54"/>
    </row>
    <row r="86" spans="4:131" ht="18" x14ac:dyDescent="0.25">
      <c r="D86" s="52"/>
      <c r="E86" s="53"/>
      <c r="AL86" s="54"/>
      <c r="CP86" s="54"/>
      <c r="DZ86" s="54"/>
      <c r="EA86" s="54"/>
    </row>
    <row r="87" spans="4:131" ht="18" x14ac:dyDescent="0.25">
      <c r="D87" s="52"/>
      <c r="E87" s="53"/>
      <c r="AL87" s="54"/>
      <c r="CP87" s="54"/>
      <c r="DZ87" s="54"/>
      <c r="EA87" s="54"/>
    </row>
    <row r="88" spans="4:131" ht="18" x14ac:dyDescent="0.25">
      <c r="D88" s="52"/>
      <c r="E88" s="53"/>
      <c r="AL88" s="54"/>
      <c r="CP88" s="54"/>
      <c r="DZ88" s="54"/>
      <c r="EA88" s="54"/>
    </row>
    <row r="89" spans="4:131" ht="18" x14ac:dyDescent="0.25">
      <c r="D89" s="52"/>
      <c r="E89" s="53"/>
      <c r="AL89" s="54"/>
      <c r="CP89" s="54"/>
      <c r="DZ89" s="54"/>
      <c r="EA89" s="54"/>
    </row>
    <row r="90" spans="4:131" ht="18" x14ac:dyDescent="0.25">
      <c r="D90" s="52"/>
      <c r="E90" s="53"/>
      <c r="AL90" s="54"/>
      <c r="CP90" s="54"/>
      <c r="DZ90" s="54"/>
      <c r="EA90" s="54"/>
    </row>
    <row r="91" spans="4:131" ht="18" x14ac:dyDescent="0.25">
      <c r="D91" s="52"/>
      <c r="E91" s="53"/>
      <c r="AL91" s="54"/>
      <c r="CP91" s="54"/>
      <c r="DZ91" s="54"/>
      <c r="EA91" s="54"/>
    </row>
    <row r="92" spans="4:131" ht="18" x14ac:dyDescent="0.25">
      <c r="D92" s="52"/>
      <c r="E92" s="53"/>
      <c r="AL92" s="54"/>
      <c r="CP92" s="54"/>
      <c r="DZ92" s="54"/>
      <c r="EA92" s="54"/>
    </row>
    <row r="93" spans="4:131" ht="18" x14ac:dyDescent="0.25">
      <c r="D93" s="52"/>
      <c r="E93" s="53"/>
      <c r="AL93" s="54"/>
      <c r="CP93" s="54"/>
      <c r="DZ93" s="54"/>
      <c r="EA93" s="54"/>
    </row>
    <row r="94" spans="4:131" ht="18" x14ac:dyDescent="0.25">
      <c r="D94" s="52"/>
      <c r="E94" s="53"/>
      <c r="AL94" s="54"/>
      <c r="CP94" s="54"/>
      <c r="DZ94" s="54"/>
      <c r="EA94" s="54"/>
    </row>
    <row r="95" spans="4:131" ht="18" x14ac:dyDescent="0.25">
      <c r="D95" s="52"/>
      <c r="E95" s="53"/>
      <c r="AL95" s="54"/>
      <c r="CP95" s="54"/>
      <c r="DZ95" s="54"/>
      <c r="EA95" s="54"/>
    </row>
    <row r="96" spans="4:131" ht="18" x14ac:dyDescent="0.25">
      <c r="D96" s="52"/>
      <c r="E96" s="53"/>
      <c r="AL96" s="54"/>
      <c r="CP96" s="54"/>
      <c r="DZ96" s="54"/>
      <c r="EA96" s="54"/>
    </row>
    <row r="97" spans="4:131" ht="18" x14ac:dyDescent="0.25">
      <c r="D97" s="52"/>
      <c r="E97" s="53"/>
      <c r="AL97" s="54"/>
      <c r="CP97" s="54"/>
      <c r="DZ97" s="54"/>
      <c r="EA97" s="54"/>
    </row>
    <row r="98" spans="4:131" ht="18" x14ac:dyDescent="0.25">
      <c r="D98" s="52"/>
      <c r="E98" s="53"/>
      <c r="AL98" s="54"/>
      <c r="CP98" s="54"/>
      <c r="DZ98" s="54"/>
      <c r="EA98" s="54"/>
    </row>
    <row r="99" spans="4:131" ht="18" x14ac:dyDescent="0.25">
      <c r="D99" s="52"/>
      <c r="E99" s="53"/>
      <c r="AL99" s="54"/>
      <c r="CP99" s="54"/>
      <c r="DZ99" s="54"/>
      <c r="EA99" s="54"/>
    </row>
    <row r="100" spans="4:131" ht="18" x14ac:dyDescent="0.25">
      <c r="D100" s="52"/>
      <c r="E100" s="53"/>
      <c r="AL100" s="54"/>
      <c r="CP100" s="54"/>
      <c r="DZ100" s="54"/>
      <c r="EA100" s="54"/>
    </row>
    <row r="101" spans="4:131" ht="18" x14ac:dyDescent="0.25">
      <c r="D101" s="52"/>
      <c r="E101" s="53"/>
      <c r="AL101" s="54"/>
      <c r="CP101" s="54"/>
      <c r="DZ101" s="54"/>
      <c r="EA101" s="54"/>
    </row>
    <row r="102" spans="4:131" ht="18" x14ac:dyDescent="0.25">
      <c r="D102" s="52"/>
      <c r="E102" s="53"/>
      <c r="AL102" s="54"/>
      <c r="CP102" s="54"/>
      <c r="DZ102" s="54"/>
      <c r="EA102" s="54"/>
    </row>
    <row r="103" spans="4:131" ht="18" x14ac:dyDescent="0.25">
      <c r="D103" s="52"/>
      <c r="E103" s="53"/>
      <c r="AL103" s="54"/>
      <c r="CP103" s="54"/>
      <c r="DZ103" s="54"/>
      <c r="EA103" s="54"/>
    </row>
    <row r="104" spans="4:131" ht="18" x14ac:dyDescent="0.25">
      <c r="D104" s="52"/>
      <c r="E104" s="53"/>
      <c r="AL104" s="54"/>
      <c r="CP104" s="54"/>
      <c r="DZ104" s="54"/>
      <c r="EA104" s="54"/>
    </row>
    <row r="105" spans="4:131" ht="18" x14ac:dyDescent="0.25">
      <c r="D105" s="52"/>
      <c r="E105" s="53"/>
      <c r="AL105" s="54"/>
      <c r="CP105" s="54"/>
      <c r="DZ105" s="54"/>
      <c r="EA105" s="54"/>
    </row>
    <row r="106" spans="4:131" ht="18" x14ac:dyDescent="0.25">
      <c r="D106" s="52"/>
      <c r="E106" s="53"/>
      <c r="AL106" s="54"/>
      <c r="CP106" s="54"/>
      <c r="DZ106" s="54"/>
      <c r="EA106" s="54"/>
    </row>
    <row r="107" spans="4:131" ht="18" x14ac:dyDescent="0.25">
      <c r="D107" s="52"/>
      <c r="E107" s="53"/>
      <c r="AL107" s="54"/>
      <c r="CP107" s="54"/>
    </row>
    <row r="108" spans="4:131" ht="18" x14ac:dyDescent="0.25">
      <c r="D108" s="52"/>
      <c r="E108" s="53"/>
      <c r="AL108" s="54"/>
      <c r="CP108" s="54"/>
    </row>
    <row r="109" spans="4:131" ht="18" x14ac:dyDescent="0.25">
      <c r="D109" s="52"/>
      <c r="E109" s="53"/>
      <c r="AL109" s="54"/>
      <c r="CP109" s="54"/>
    </row>
    <row r="110" spans="4:131" ht="18" x14ac:dyDescent="0.25">
      <c r="D110" s="52"/>
      <c r="E110" s="53"/>
      <c r="AL110" s="54"/>
      <c r="CP110" s="54"/>
    </row>
    <row r="111" spans="4:131" ht="18" x14ac:dyDescent="0.25">
      <c r="D111" s="52"/>
      <c r="E111" s="53"/>
      <c r="AL111" s="54"/>
      <c r="CP111" s="54"/>
    </row>
    <row r="112" spans="4:131" ht="18" x14ac:dyDescent="0.25">
      <c r="D112" s="52"/>
      <c r="E112" s="53"/>
      <c r="AL112" s="54"/>
      <c r="CP112" s="54"/>
    </row>
    <row r="113" spans="4:94" ht="18" x14ac:dyDescent="0.25">
      <c r="D113" s="52"/>
      <c r="E113" s="53"/>
      <c r="AL113" s="54"/>
      <c r="CP113" s="54"/>
    </row>
    <row r="114" spans="4:94" ht="18" x14ac:dyDescent="0.25">
      <c r="D114" s="52"/>
      <c r="E114" s="53"/>
      <c r="AL114" s="54"/>
      <c r="CP114" s="54"/>
    </row>
    <row r="115" spans="4:94" ht="18" x14ac:dyDescent="0.25">
      <c r="D115" s="52"/>
      <c r="E115" s="53"/>
      <c r="AL115" s="54"/>
      <c r="CP115" s="54"/>
    </row>
    <row r="116" spans="4:94" ht="18" x14ac:dyDescent="0.25">
      <c r="D116" s="52"/>
      <c r="E116" s="53"/>
      <c r="AL116" s="54"/>
      <c r="CP116" s="54"/>
    </row>
    <row r="117" spans="4:94" ht="18" x14ac:dyDescent="0.25">
      <c r="D117" s="52"/>
      <c r="E117" s="53"/>
      <c r="AL117" s="54"/>
      <c r="CP117" s="54"/>
    </row>
    <row r="118" spans="4:94" ht="18" x14ac:dyDescent="0.25">
      <c r="D118" s="52"/>
      <c r="E118" s="53"/>
      <c r="AL118" s="54"/>
      <c r="CP118" s="54"/>
    </row>
    <row r="119" spans="4:94" ht="18" x14ac:dyDescent="0.25">
      <c r="D119" s="52"/>
      <c r="E119" s="53"/>
      <c r="AL119" s="54"/>
    </row>
    <row r="120" spans="4:94" ht="18" x14ac:dyDescent="0.25">
      <c r="D120" s="52"/>
      <c r="E120" s="53"/>
      <c r="AL120" s="54"/>
    </row>
    <row r="121" spans="4:94" ht="18" x14ac:dyDescent="0.25">
      <c r="D121" s="52"/>
      <c r="E121" s="53"/>
    </row>
    <row r="122" spans="4:94" ht="18" x14ac:dyDescent="0.25">
      <c r="D122" s="52"/>
      <c r="E122" s="53"/>
    </row>
    <row r="123" spans="4:94" ht="18" x14ac:dyDescent="0.25">
      <c r="D123" s="52"/>
      <c r="E123" s="53"/>
    </row>
    <row r="124" spans="4:94" ht="18" x14ac:dyDescent="0.25">
      <c r="D124" s="52"/>
      <c r="E124" s="53"/>
    </row>
    <row r="125" spans="4:94" ht="18" x14ac:dyDescent="0.25">
      <c r="D125" s="52"/>
      <c r="E125" s="53"/>
    </row>
    <row r="126" spans="4:94" ht="18" x14ac:dyDescent="0.25">
      <c r="D126" s="52"/>
      <c r="E126" s="53"/>
    </row>
    <row r="127" spans="4:94" ht="18" x14ac:dyDescent="0.25">
      <c r="D127" s="52"/>
      <c r="E127" s="53"/>
    </row>
    <row r="128" spans="4:94" ht="18" x14ac:dyDescent="0.25">
      <c r="D128" s="52"/>
      <c r="E128" s="53"/>
    </row>
    <row r="129" spans="4:5" ht="18" x14ac:dyDescent="0.25">
      <c r="D129" s="52"/>
      <c r="E129" s="53"/>
    </row>
    <row r="130" spans="4:5" ht="18" x14ac:dyDescent="0.25">
      <c r="D130" s="52"/>
      <c r="E130" s="53"/>
    </row>
    <row r="131" spans="4:5" ht="18" x14ac:dyDescent="0.25">
      <c r="D131" s="52"/>
      <c r="E131" s="53"/>
    </row>
    <row r="132" spans="4:5" ht="18" x14ac:dyDescent="0.25">
      <c r="D132" s="52"/>
      <c r="E132" s="53"/>
    </row>
    <row r="133" spans="4:5" ht="18" x14ac:dyDescent="0.25">
      <c r="D133" s="52"/>
      <c r="E133" s="53"/>
    </row>
    <row r="134" spans="4:5" ht="18" x14ac:dyDescent="0.25">
      <c r="D134" s="52"/>
      <c r="E134" s="53"/>
    </row>
    <row r="135" spans="4:5" ht="18" x14ac:dyDescent="0.25">
      <c r="D135" s="52"/>
      <c r="E135" s="53"/>
    </row>
    <row r="136" spans="4:5" ht="18" x14ac:dyDescent="0.25">
      <c r="D136" s="52"/>
      <c r="E136" s="53"/>
    </row>
    <row r="137" spans="4:5" ht="18" x14ac:dyDescent="0.25">
      <c r="D137" s="52"/>
      <c r="E137" s="53"/>
    </row>
    <row r="138" spans="4:5" ht="18" x14ac:dyDescent="0.25">
      <c r="D138" s="52"/>
      <c r="E138" s="53"/>
    </row>
    <row r="139" spans="4:5" ht="18" x14ac:dyDescent="0.25">
      <c r="D139" s="52"/>
      <c r="E139" s="53"/>
    </row>
    <row r="140" spans="4:5" ht="18" x14ac:dyDescent="0.25">
      <c r="D140" s="52"/>
      <c r="E140" s="53"/>
    </row>
    <row r="141" spans="4:5" ht="18" x14ac:dyDescent="0.25">
      <c r="D141" s="52"/>
      <c r="E141" s="53"/>
    </row>
    <row r="142" spans="4:5" ht="18" x14ac:dyDescent="0.25">
      <c r="D142" s="52"/>
      <c r="E142" s="53"/>
    </row>
    <row r="143" spans="4:5" ht="18" x14ac:dyDescent="0.25">
      <c r="D143" s="52"/>
      <c r="E143" s="53"/>
    </row>
    <row r="144" spans="4:5" ht="18" x14ac:dyDescent="0.25">
      <c r="D144" s="52"/>
      <c r="E144" s="53"/>
    </row>
    <row r="145" spans="4:5" ht="18" x14ac:dyDescent="0.25">
      <c r="D145" s="52"/>
      <c r="E145" s="53"/>
    </row>
    <row r="146" spans="4:5" ht="18" x14ac:dyDescent="0.25">
      <c r="D146" s="52"/>
      <c r="E146" s="53"/>
    </row>
    <row r="147" spans="4:5" ht="18" x14ac:dyDescent="0.25">
      <c r="D147" s="52"/>
      <c r="E147" s="53"/>
    </row>
    <row r="148" spans="4:5" ht="18" x14ac:dyDescent="0.25">
      <c r="D148" s="52"/>
      <c r="E148" s="53"/>
    </row>
    <row r="149" spans="4:5" ht="18" x14ac:dyDescent="0.25">
      <c r="D149" s="52"/>
      <c r="E149" s="53"/>
    </row>
    <row r="150" spans="4:5" ht="18" x14ac:dyDescent="0.25">
      <c r="D150" s="52"/>
      <c r="E150" s="53"/>
    </row>
    <row r="151" spans="4:5" ht="18" x14ac:dyDescent="0.25">
      <c r="D151" s="52"/>
      <c r="E151" s="53"/>
    </row>
    <row r="152" spans="4:5" ht="18" x14ac:dyDescent="0.25">
      <c r="D152" s="52"/>
      <c r="E152" s="53"/>
    </row>
    <row r="153" spans="4:5" ht="18" x14ac:dyDescent="0.25">
      <c r="D153" s="52"/>
      <c r="E153" s="53"/>
    </row>
    <row r="154" spans="4:5" ht="18" x14ac:dyDescent="0.25">
      <c r="D154" s="52"/>
      <c r="E154" s="53"/>
    </row>
    <row r="155" spans="4:5" ht="18" x14ac:dyDescent="0.25">
      <c r="D155" s="52"/>
      <c r="E155" s="53"/>
    </row>
    <row r="156" spans="4:5" ht="18" x14ac:dyDescent="0.25">
      <c r="D156" s="52"/>
      <c r="E156" s="53"/>
    </row>
    <row r="157" spans="4:5" ht="18" x14ac:dyDescent="0.25">
      <c r="D157" s="52"/>
      <c r="E157" s="53"/>
    </row>
    <row r="158" spans="4:5" ht="18" x14ac:dyDescent="0.25">
      <c r="D158" s="52"/>
      <c r="E158" s="53"/>
    </row>
    <row r="159" spans="4:5" ht="18" x14ac:dyDescent="0.25">
      <c r="D159" s="52"/>
      <c r="E159" s="53"/>
    </row>
    <row r="160" spans="4:5" ht="18" x14ac:dyDescent="0.25">
      <c r="D160" s="52"/>
      <c r="E160" s="53"/>
    </row>
    <row r="161" spans="4:5" ht="18" x14ac:dyDescent="0.25">
      <c r="D161" s="52"/>
      <c r="E161" s="53"/>
    </row>
    <row r="162" spans="4:5" ht="18" x14ac:dyDescent="0.25">
      <c r="D162" s="52"/>
      <c r="E162" s="53"/>
    </row>
    <row r="163" spans="4:5" ht="18" x14ac:dyDescent="0.25">
      <c r="D163" s="52"/>
      <c r="E163" s="53"/>
    </row>
    <row r="164" spans="4:5" ht="18" x14ac:dyDescent="0.25">
      <c r="D164" s="52"/>
      <c r="E164" s="53"/>
    </row>
    <row r="165" spans="4:5" ht="18" x14ac:dyDescent="0.25">
      <c r="D165" s="52"/>
      <c r="E165" s="53"/>
    </row>
    <row r="166" spans="4:5" ht="18" x14ac:dyDescent="0.25">
      <c r="D166" s="52"/>
      <c r="E166" s="53"/>
    </row>
    <row r="167" spans="4:5" ht="18" x14ac:dyDescent="0.25">
      <c r="D167" s="52"/>
      <c r="E167" s="53"/>
    </row>
    <row r="168" spans="4:5" ht="18" x14ac:dyDescent="0.25">
      <c r="D168" s="52"/>
      <c r="E168" s="53"/>
    </row>
    <row r="169" spans="4:5" ht="18" x14ac:dyDescent="0.25">
      <c r="D169" s="52"/>
      <c r="E169" s="53"/>
    </row>
    <row r="170" spans="4:5" ht="18" x14ac:dyDescent="0.25">
      <c r="D170" s="52"/>
      <c r="E170" s="53"/>
    </row>
    <row r="171" spans="4:5" ht="18" x14ac:dyDescent="0.25">
      <c r="D171" s="52"/>
      <c r="E171" s="53"/>
    </row>
    <row r="172" spans="4:5" ht="18" x14ac:dyDescent="0.25">
      <c r="D172" s="52"/>
      <c r="E172" s="53"/>
    </row>
    <row r="173" spans="4:5" ht="18" x14ac:dyDescent="0.25">
      <c r="D173" s="52"/>
      <c r="E173" s="53"/>
    </row>
    <row r="174" spans="4:5" ht="18" x14ac:dyDescent="0.25">
      <c r="D174" s="52"/>
      <c r="E174" s="53"/>
    </row>
    <row r="175" spans="4:5" ht="18" x14ac:dyDescent="0.25">
      <c r="D175" s="52"/>
      <c r="E175" s="53"/>
    </row>
    <row r="176" spans="4:5" ht="18" x14ac:dyDescent="0.25">
      <c r="D176" s="52"/>
      <c r="E176" s="53"/>
    </row>
    <row r="177" spans="4:5" ht="18" x14ac:dyDescent="0.25">
      <c r="D177" s="52"/>
      <c r="E177" s="53"/>
    </row>
    <row r="178" spans="4:5" ht="18" x14ac:dyDescent="0.25">
      <c r="D178" s="52"/>
      <c r="E178" s="53"/>
    </row>
    <row r="179" spans="4:5" ht="18" x14ac:dyDescent="0.25">
      <c r="D179" s="52"/>
      <c r="E179" s="53"/>
    </row>
    <row r="180" spans="4:5" ht="18" x14ac:dyDescent="0.25">
      <c r="D180" s="52"/>
      <c r="E180" s="53"/>
    </row>
    <row r="181" spans="4:5" ht="18" x14ac:dyDescent="0.25">
      <c r="D181" s="52"/>
      <c r="E181" s="53"/>
    </row>
    <row r="182" spans="4:5" ht="18" x14ac:dyDescent="0.25">
      <c r="D182" s="52"/>
      <c r="E182" s="53"/>
    </row>
    <row r="183" spans="4:5" ht="18" x14ac:dyDescent="0.25">
      <c r="D183" s="52"/>
      <c r="E183" s="53"/>
    </row>
    <row r="184" spans="4:5" ht="18" x14ac:dyDescent="0.25">
      <c r="D184" s="52"/>
      <c r="E184" s="53"/>
    </row>
    <row r="185" spans="4:5" ht="18" x14ac:dyDescent="0.25">
      <c r="D185" s="52"/>
      <c r="E185" s="53"/>
    </row>
    <row r="186" spans="4:5" ht="18" x14ac:dyDescent="0.25">
      <c r="D186" s="52"/>
      <c r="E186" s="53"/>
    </row>
    <row r="187" spans="4:5" ht="18" x14ac:dyDescent="0.25">
      <c r="D187" s="52"/>
      <c r="E187" s="53"/>
    </row>
    <row r="188" spans="4:5" ht="18" x14ac:dyDescent="0.25">
      <c r="D188" s="52"/>
      <c r="E188" s="53"/>
    </row>
    <row r="189" spans="4:5" ht="18" x14ac:dyDescent="0.25">
      <c r="D189" s="52"/>
      <c r="E189" s="53"/>
    </row>
    <row r="190" spans="4:5" ht="18" x14ac:dyDescent="0.25">
      <c r="D190" s="52"/>
      <c r="E190" s="53"/>
    </row>
    <row r="191" spans="4:5" ht="18" x14ac:dyDescent="0.25">
      <c r="D191" s="52"/>
      <c r="E191" s="53"/>
    </row>
    <row r="192" spans="4:5" ht="18" x14ac:dyDescent="0.25">
      <c r="D192" s="52"/>
      <c r="E192" s="53"/>
    </row>
    <row r="193" spans="4:5" ht="18" x14ac:dyDescent="0.25">
      <c r="D193" s="52"/>
      <c r="E193" s="53"/>
    </row>
    <row r="194" spans="4:5" ht="18" x14ac:dyDescent="0.25">
      <c r="D194" s="52"/>
      <c r="E194" s="53"/>
    </row>
    <row r="195" spans="4:5" ht="18" x14ac:dyDescent="0.25">
      <c r="D195" s="52"/>
      <c r="E195" s="53"/>
    </row>
    <row r="196" spans="4:5" ht="18" x14ac:dyDescent="0.25">
      <c r="D196" s="52"/>
      <c r="E196" s="53"/>
    </row>
    <row r="197" spans="4:5" ht="18" x14ac:dyDescent="0.25">
      <c r="D197" s="52"/>
      <c r="E197" s="53"/>
    </row>
    <row r="198" spans="4:5" ht="18" x14ac:dyDescent="0.25">
      <c r="D198" s="52"/>
      <c r="E198" s="53"/>
    </row>
    <row r="199" spans="4:5" ht="18" x14ac:dyDescent="0.25">
      <c r="D199" s="52"/>
      <c r="E199" s="53"/>
    </row>
    <row r="200" spans="4:5" ht="18" x14ac:dyDescent="0.25">
      <c r="D200" s="52"/>
      <c r="E200" s="53"/>
    </row>
    <row r="201" spans="4:5" ht="18" x14ac:dyDescent="0.25">
      <c r="D201" s="52"/>
      <c r="E201" s="53"/>
    </row>
    <row r="202" spans="4:5" ht="18" x14ac:dyDescent="0.25">
      <c r="D202" s="52"/>
      <c r="E202" s="53"/>
    </row>
    <row r="203" spans="4:5" ht="18" x14ac:dyDescent="0.25">
      <c r="D203" s="52"/>
      <c r="E203" s="53"/>
    </row>
    <row r="204" spans="4:5" ht="18" x14ac:dyDescent="0.25">
      <c r="D204" s="52"/>
      <c r="E204" s="53"/>
    </row>
    <row r="205" spans="4:5" ht="18" x14ac:dyDescent="0.25">
      <c r="D205" s="52"/>
      <c r="E205" s="53"/>
    </row>
    <row r="206" spans="4:5" ht="18" x14ac:dyDescent="0.25">
      <c r="D206" s="52"/>
      <c r="E206" s="53"/>
    </row>
    <row r="207" spans="4:5" ht="18" x14ac:dyDescent="0.25">
      <c r="D207" s="52"/>
      <c r="E207" s="53"/>
    </row>
    <row r="208" spans="4:5" ht="18" x14ac:dyDescent="0.25">
      <c r="D208" s="52"/>
      <c r="E208" s="53"/>
    </row>
    <row r="209" spans="4:5" ht="18" x14ac:dyDescent="0.25">
      <c r="D209" s="52"/>
      <c r="E209" s="53"/>
    </row>
    <row r="210" spans="4:5" ht="18" x14ac:dyDescent="0.25">
      <c r="D210" s="52"/>
      <c r="E210" s="53"/>
    </row>
    <row r="211" spans="4:5" ht="18" x14ac:dyDescent="0.25">
      <c r="D211" s="52"/>
      <c r="E211" s="53"/>
    </row>
    <row r="212" spans="4:5" ht="18" x14ac:dyDescent="0.25">
      <c r="D212" s="52"/>
      <c r="E212" s="53"/>
    </row>
    <row r="213" spans="4:5" ht="18" x14ac:dyDescent="0.25">
      <c r="D213" s="52"/>
      <c r="E213" s="53"/>
    </row>
    <row r="214" spans="4:5" ht="18" x14ac:dyDescent="0.25">
      <c r="D214" s="52"/>
      <c r="E214" s="53"/>
    </row>
    <row r="215" spans="4:5" ht="18" x14ac:dyDescent="0.25">
      <c r="D215" s="52"/>
      <c r="E215" s="53"/>
    </row>
    <row r="216" spans="4:5" ht="18" x14ac:dyDescent="0.25">
      <c r="D216" s="52"/>
      <c r="E216" s="53"/>
    </row>
    <row r="217" spans="4:5" ht="18" x14ac:dyDescent="0.25">
      <c r="D217" s="52"/>
      <c r="E217" s="53"/>
    </row>
    <row r="218" spans="4:5" ht="18" x14ac:dyDescent="0.25">
      <c r="D218" s="52"/>
      <c r="E218" s="53"/>
    </row>
    <row r="219" spans="4:5" ht="18" x14ac:dyDescent="0.25">
      <c r="D219" s="52"/>
      <c r="E219" s="53"/>
    </row>
    <row r="220" spans="4:5" ht="18" x14ac:dyDescent="0.25">
      <c r="D220" s="52"/>
      <c r="E220" s="53"/>
    </row>
    <row r="221" spans="4:5" ht="18" x14ac:dyDescent="0.25">
      <c r="D221" s="52"/>
      <c r="E221" s="53"/>
    </row>
    <row r="222" spans="4:5" ht="18" x14ac:dyDescent="0.25">
      <c r="D222" s="52"/>
      <c r="E222" s="53"/>
    </row>
    <row r="223" spans="4:5" ht="18" x14ac:dyDescent="0.25">
      <c r="D223" s="52"/>
      <c r="E223" s="53"/>
    </row>
    <row r="224" spans="4:5" ht="18" x14ac:dyDescent="0.25">
      <c r="D224" s="52"/>
      <c r="E224" s="53"/>
    </row>
    <row r="225" spans="4:5" ht="18" x14ac:dyDescent="0.25">
      <c r="D225" s="52"/>
      <c r="E225" s="53"/>
    </row>
    <row r="226" spans="4:5" ht="18" x14ac:dyDescent="0.25">
      <c r="D226" s="52"/>
      <c r="E226" s="53"/>
    </row>
    <row r="227" spans="4:5" ht="18" x14ac:dyDescent="0.25">
      <c r="D227" s="52"/>
      <c r="E227" s="53"/>
    </row>
    <row r="228" spans="4:5" ht="18" x14ac:dyDescent="0.25">
      <c r="D228" s="52"/>
      <c r="E228" s="53"/>
    </row>
    <row r="229" spans="4:5" ht="18" x14ac:dyDescent="0.25">
      <c r="D229" s="52"/>
      <c r="E229" s="53"/>
    </row>
    <row r="230" spans="4:5" ht="18" x14ac:dyDescent="0.25">
      <c r="D230" s="52"/>
      <c r="E230" s="53"/>
    </row>
    <row r="231" spans="4:5" ht="18" x14ac:dyDescent="0.25">
      <c r="D231" s="52"/>
      <c r="E231" s="53"/>
    </row>
    <row r="232" spans="4:5" ht="18" x14ac:dyDescent="0.25">
      <c r="D232" s="52"/>
      <c r="E232" s="53"/>
    </row>
    <row r="233" spans="4:5" ht="18" x14ac:dyDescent="0.25">
      <c r="D233" s="52"/>
      <c r="E233" s="53"/>
    </row>
    <row r="234" spans="4:5" ht="18" x14ac:dyDescent="0.25">
      <c r="D234" s="52"/>
      <c r="E234" s="53"/>
    </row>
    <row r="235" spans="4:5" ht="18" x14ac:dyDescent="0.25">
      <c r="D235" s="52"/>
      <c r="E235" s="53"/>
    </row>
    <row r="236" spans="4:5" ht="18" x14ac:dyDescent="0.25">
      <c r="D236" s="52"/>
      <c r="E236" s="53"/>
    </row>
    <row r="237" spans="4:5" ht="18" x14ac:dyDescent="0.25">
      <c r="D237" s="52"/>
      <c r="E237" s="53"/>
    </row>
    <row r="238" spans="4:5" ht="18" x14ac:dyDescent="0.25">
      <c r="D238" s="52"/>
      <c r="E238" s="53"/>
    </row>
    <row r="239" spans="4:5" ht="18" x14ac:dyDescent="0.25">
      <c r="D239" s="52"/>
      <c r="E239" s="53"/>
    </row>
    <row r="240" spans="4:5" ht="18" x14ac:dyDescent="0.25">
      <c r="D240" s="52"/>
      <c r="E240" s="53"/>
    </row>
    <row r="241" spans="4:5" ht="18" x14ac:dyDescent="0.25">
      <c r="D241" s="52"/>
      <c r="E241" s="53"/>
    </row>
    <row r="242" spans="4:5" ht="18" x14ac:dyDescent="0.25">
      <c r="D242" s="52"/>
      <c r="E242" s="53"/>
    </row>
    <row r="243" spans="4:5" ht="18" x14ac:dyDescent="0.25">
      <c r="D243" s="52"/>
      <c r="E243" s="53"/>
    </row>
    <row r="244" spans="4:5" ht="18" x14ac:dyDescent="0.25">
      <c r="D244" s="52"/>
      <c r="E244" s="53"/>
    </row>
    <row r="245" spans="4:5" ht="18" x14ac:dyDescent="0.25">
      <c r="D245" s="52"/>
      <c r="E245" s="53"/>
    </row>
    <row r="246" spans="4:5" ht="18" x14ac:dyDescent="0.25">
      <c r="D246" s="52"/>
      <c r="E246" s="53"/>
    </row>
    <row r="247" spans="4:5" ht="18" x14ac:dyDescent="0.25">
      <c r="D247" s="52"/>
      <c r="E247" s="53"/>
    </row>
    <row r="248" spans="4:5" ht="18" x14ac:dyDescent="0.25">
      <c r="D248" s="52"/>
      <c r="E248" s="53"/>
    </row>
    <row r="249" spans="4:5" ht="18" x14ac:dyDescent="0.25">
      <c r="D249" s="52"/>
      <c r="E249" s="53"/>
    </row>
    <row r="250" spans="4:5" ht="18" x14ac:dyDescent="0.25">
      <c r="D250" s="52"/>
      <c r="E250" s="53"/>
    </row>
    <row r="251" spans="4:5" ht="18" x14ac:dyDescent="0.25">
      <c r="D251" s="52"/>
      <c r="E251" s="53"/>
    </row>
    <row r="252" spans="4:5" ht="18" x14ac:dyDescent="0.25">
      <c r="D252" s="52"/>
      <c r="E252" s="53"/>
    </row>
    <row r="253" spans="4:5" ht="18" x14ac:dyDescent="0.25">
      <c r="D253" s="52"/>
      <c r="E253" s="53"/>
    </row>
    <row r="254" spans="4:5" ht="18" x14ac:dyDescent="0.25">
      <c r="D254" s="52"/>
      <c r="E254" s="53"/>
    </row>
    <row r="255" spans="4:5" ht="18" x14ac:dyDescent="0.25">
      <c r="D255" s="52"/>
      <c r="E255" s="53"/>
    </row>
    <row r="256" spans="4:5" ht="18" x14ac:dyDescent="0.25">
      <c r="D256" s="52"/>
      <c r="E256" s="53"/>
    </row>
    <row r="257" spans="4:5" ht="18" x14ac:dyDescent="0.25">
      <c r="D257" s="52"/>
      <c r="E257" s="53"/>
    </row>
    <row r="258" spans="4:5" ht="18" x14ac:dyDescent="0.25">
      <c r="D258" s="52"/>
      <c r="E258" s="53"/>
    </row>
    <row r="259" spans="4:5" ht="18" x14ac:dyDescent="0.25">
      <c r="D259" s="52"/>
      <c r="E259" s="53"/>
    </row>
    <row r="260" spans="4:5" ht="18" x14ac:dyDescent="0.25">
      <c r="D260" s="52"/>
      <c r="E260" s="53"/>
    </row>
    <row r="261" spans="4:5" ht="18" x14ac:dyDescent="0.25">
      <c r="D261" s="52"/>
      <c r="E261" s="53"/>
    </row>
    <row r="262" spans="4:5" ht="18" x14ac:dyDescent="0.25">
      <c r="D262" s="52"/>
      <c r="E262" s="53"/>
    </row>
    <row r="263" spans="4:5" ht="18" x14ac:dyDescent="0.25">
      <c r="D263" s="52"/>
      <c r="E263" s="53"/>
    </row>
    <row r="264" spans="4:5" ht="18" x14ac:dyDescent="0.25">
      <c r="D264" s="52"/>
      <c r="E264" s="53"/>
    </row>
    <row r="265" spans="4:5" ht="18" x14ac:dyDescent="0.25">
      <c r="D265" s="52"/>
      <c r="E265" s="53"/>
    </row>
    <row r="266" spans="4:5" ht="18" x14ac:dyDescent="0.25">
      <c r="D266" s="52"/>
      <c r="E266" s="53"/>
    </row>
    <row r="267" spans="4:5" ht="18" x14ac:dyDescent="0.25">
      <c r="D267" s="52"/>
      <c r="E267" s="53"/>
    </row>
    <row r="268" spans="4:5" ht="18" x14ac:dyDescent="0.25">
      <c r="D268" s="52"/>
      <c r="E268" s="53"/>
    </row>
    <row r="269" spans="4:5" ht="18" x14ac:dyDescent="0.25">
      <c r="D269" s="52"/>
      <c r="E269" s="53"/>
    </row>
    <row r="270" spans="4:5" ht="18" x14ac:dyDescent="0.25">
      <c r="D270" s="52"/>
      <c r="E270" s="53"/>
    </row>
    <row r="271" spans="4:5" ht="18" x14ac:dyDescent="0.25">
      <c r="D271" s="52"/>
      <c r="E271" s="53"/>
    </row>
    <row r="272" spans="4:5" ht="18" x14ac:dyDescent="0.25">
      <c r="D272" s="52"/>
      <c r="E272" s="53"/>
    </row>
    <row r="273" spans="4:5" ht="18" x14ac:dyDescent="0.25">
      <c r="D273" s="52"/>
      <c r="E273" s="53"/>
    </row>
    <row r="274" spans="4:5" ht="18" x14ac:dyDescent="0.25">
      <c r="D274" s="52"/>
      <c r="E274" s="53"/>
    </row>
    <row r="275" spans="4:5" ht="18" x14ac:dyDescent="0.25">
      <c r="D275" s="52"/>
      <c r="E275" s="53"/>
    </row>
    <row r="276" spans="4:5" ht="18" x14ac:dyDescent="0.25">
      <c r="D276" s="52"/>
      <c r="E276" s="53"/>
    </row>
    <row r="277" spans="4:5" ht="18" x14ac:dyDescent="0.25">
      <c r="D277" s="52"/>
      <c r="E277" s="53"/>
    </row>
    <row r="278" spans="4:5" ht="18" x14ac:dyDescent="0.25">
      <c r="D278" s="52"/>
      <c r="E278" s="53"/>
    </row>
    <row r="279" spans="4:5" ht="18" x14ac:dyDescent="0.25">
      <c r="D279" s="52"/>
      <c r="E279" s="53"/>
    </row>
    <row r="280" spans="4:5" ht="18" x14ac:dyDescent="0.25">
      <c r="D280" s="52"/>
      <c r="E280" s="53"/>
    </row>
    <row r="281" spans="4:5" ht="18" x14ac:dyDescent="0.25">
      <c r="D281" s="52"/>
      <c r="E281" s="53"/>
    </row>
    <row r="282" spans="4:5" ht="18" x14ac:dyDescent="0.25">
      <c r="D282" s="52"/>
      <c r="E282" s="53"/>
    </row>
    <row r="283" spans="4:5" ht="18" x14ac:dyDescent="0.25">
      <c r="D283" s="52"/>
      <c r="E283" s="53"/>
    </row>
    <row r="284" spans="4:5" ht="18" x14ac:dyDescent="0.25">
      <c r="D284" s="52"/>
      <c r="E284" s="53"/>
    </row>
    <row r="285" spans="4:5" ht="18" x14ac:dyDescent="0.25">
      <c r="D285" s="52"/>
      <c r="E285" s="53"/>
    </row>
    <row r="286" spans="4:5" ht="18" x14ac:dyDescent="0.25">
      <c r="D286" s="52"/>
      <c r="E286" s="53"/>
    </row>
    <row r="287" spans="4:5" ht="18" x14ac:dyDescent="0.25">
      <c r="D287" s="52"/>
      <c r="E287" s="53"/>
    </row>
    <row r="288" spans="4:5" ht="18" x14ac:dyDescent="0.25">
      <c r="D288" s="52"/>
      <c r="E288" s="53"/>
    </row>
    <row r="289" spans="4:5" ht="18" x14ac:dyDescent="0.25">
      <c r="D289" s="52"/>
      <c r="E289" s="53"/>
    </row>
    <row r="290" spans="4:5" ht="18" x14ac:dyDescent="0.25">
      <c r="D290" s="52"/>
      <c r="E290" s="53"/>
    </row>
    <row r="291" spans="4:5" ht="18" x14ac:dyDescent="0.25">
      <c r="D291" s="52"/>
      <c r="E291" s="53"/>
    </row>
    <row r="292" spans="4:5" x14ac:dyDescent="0.2">
      <c r="D292" s="52"/>
      <c r="E292" s="52"/>
    </row>
    <row r="293" spans="4:5" x14ac:dyDescent="0.2">
      <c r="D293" s="52"/>
      <c r="E293" s="52"/>
    </row>
    <row r="294" spans="4:5" x14ac:dyDescent="0.2">
      <c r="D294" s="52"/>
      <c r="E294" s="52"/>
    </row>
    <row r="295" spans="4:5" x14ac:dyDescent="0.2">
      <c r="D295" s="52"/>
      <c r="E295" s="52"/>
    </row>
    <row r="296" spans="4:5" x14ac:dyDescent="0.2">
      <c r="D296" s="52"/>
      <c r="E296" s="52"/>
    </row>
    <row r="297" spans="4:5" x14ac:dyDescent="0.2">
      <c r="D297" s="52"/>
      <c r="E297" s="52"/>
    </row>
    <row r="298" spans="4:5" x14ac:dyDescent="0.2">
      <c r="D298" s="52"/>
      <c r="E298" s="52"/>
    </row>
    <row r="299" spans="4:5" x14ac:dyDescent="0.2">
      <c r="D299" s="52"/>
      <c r="E299" s="52"/>
    </row>
    <row r="300" spans="4:5" x14ac:dyDescent="0.2">
      <c r="D300" s="52"/>
      <c r="E300" s="52"/>
    </row>
    <row r="301" spans="4:5" x14ac:dyDescent="0.2">
      <c r="D301" s="52"/>
      <c r="E301" s="52"/>
    </row>
    <row r="302" spans="4:5" x14ac:dyDescent="0.2">
      <c r="D302" s="52"/>
      <c r="E302" s="52"/>
    </row>
    <row r="303" spans="4:5" x14ac:dyDescent="0.2">
      <c r="D303" s="52"/>
      <c r="E303" s="52"/>
    </row>
    <row r="304" spans="4:5" x14ac:dyDescent="0.2">
      <c r="D304" s="52"/>
      <c r="E304" s="52"/>
    </row>
    <row r="305" spans="4:5" x14ac:dyDescent="0.2">
      <c r="D305" s="52"/>
      <c r="E305" s="52"/>
    </row>
    <row r="306" spans="4:5" x14ac:dyDescent="0.2">
      <c r="D306" s="52"/>
      <c r="E306" s="52"/>
    </row>
    <row r="307" spans="4:5" x14ac:dyDescent="0.2">
      <c r="D307" s="52"/>
      <c r="E307" s="52"/>
    </row>
    <row r="308" spans="4:5" x14ac:dyDescent="0.2">
      <c r="D308" s="52"/>
      <c r="E308" s="52"/>
    </row>
    <row r="309" spans="4:5" x14ac:dyDescent="0.2">
      <c r="D309" s="52"/>
      <c r="E309" s="52"/>
    </row>
    <row r="310" spans="4:5" x14ac:dyDescent="0.2">
      <c r="D310" s="52"/>
      <c r="E310" s="52"/>
    </row>
    <row r="311" spans="4:5" x14ac:dyDescent="0.2">
      <c r="D311" s="52"/>
      <c r="E311" s="52"/>
    </row>
    <row r="312" spans="4:5" x14ac:dyDescent="0.2">
      <c r="D312" s="52"/>
      <c r="E312" s="52"/>
    </row>
    <row r="313" spans="4:5" x14ac:dyDescent="0.2">
      <c r="D313" s="52"/>
      <c r="E313" s="52"/>
    </row>
    <row r="314" spans="4:5" x14ac:dyDescent="0.2">
      <c r="D314" s="52"/>
      <c r="E314" s="52"/>
    </row>
    <row r="315" spans="4:5" x14ac:dyDescent="0.2">
      <c r="D315" s="52"/>
      <c r="E315" s="52"/>
    </row>
    <row r="316" spans="4:5" x14ac:dyDescent="0.2">
      <c r="D316" s="52"/>
      <c r="E316" s="52"/>
    </row>
    <row r="317" spans="4:5" x14ac:dyDescent="0.2">
      <c r="D317" s="52"/>
      <c r="E317" s="52"/>
    </row>
    <row r="318" spans="4:5" x14ac:dyDescent="0.2">
      <c r="D318" s="52"/>
      <c r="E318" s="52"/>
    </row>
    <row r="319" spans="4:5" x14ac:dyDescent="0.2">
      <c r="D319" s="52"/>
      <c r="E319" s="52"/>
    </row>
    <row r="320" spans="4:5" x14ac:dyDescent="0.2">
      <c r="D320" s="52"/>
      <c r="E320" s="52"/>
    </row>
    <row r="321" spans="4:5" x14ac:dyDescent="0.2">
      <c r="D321" s="52"/>
      <c r="E321" s="52"/>
    </row>
    <row r="322" spans="4:5" x14ac:dyDescent="0.2">
      <c r="D322" s="52"/>
      <c r="E322" s="52"/>
    </row>
    <row r="323" spans="4:5" x14ac:dyDescent="0.2">
      <c r="D323" s="52"/>
      <c r="E323" s="52"/>
    </row>
    <row r="324" spans="4:5" x14ac:dyDescent="0.2">
      <c r="D324" s="52"/>
      <c r="E324" s="52"/>
    </row>
    <row r="325" spans="4:5" x14ac:dyDescent="0.2">
      <c r="D325" s="52"/>
      <c r="E325" s="52"/>
    </row>
    <row r="326" spans="4:5" x14ac:dyDescent="0.2">
      <c r="D326" s="52"/>
      <c r="E326" s="52"/>
    </row>
    <row r="327" spans="4:5" x14ac:dyDescent="0.2">
      <c r="D327" s="52"/>
      <c r="E327" s="52"/>
    </row>
    <row r="328" spans="4:5" x14ac:dyDescent="0.2">
      <c r="D328" s="52"/>
      <c r="E328" s="52"/>
    </row>
    <row r="329" spans="4:5" x14ac:dyDescent="0.2">
      <c r="D329" s="52"/>
      <c r="E329" s="52"/>
    </row>
    <row r="330" spans="4:5" x14ac:dyDescent="0.2">
      <c r="D330" s="52"/>
      <c r="E330" s="52"/>
    </row>
    <row r="331" spans="4:5" x14ac:dyDescent="0.2">
      <c r="D331" s="52"/>
      <c r="E331" s="52"/>
    </row>
    <row r="332" spans="4:5" x14ac:dyDescent="0.2">
      <c r="D332" s="52"/>
      <c r="E332" s="52"/>
    </row>
    <row r="333" spans="4:5" x14ac:dyDescent="0.2">
      <c r="D333" s="52"/>
      <c r="E333" s="52"/>
    </row>
    <row r="334" spans="4:5" x14ac:dyDescent="0.2">
      <c r="D334" s="52"/>
      <c r="E334" s="52"/>
    </row>
    <row r="335" spans="4:5" x14ac:dyDescent="0.2">
      <c r="D335" s="52"/>
      <c r="E335" s="52"/>
    </row>
    <row r="336" spans="4:5" x14ac:dyDescent="0.2">
      <c r="D336" s="52"/>
      <c r="E336" s="52"/>
    </row>
    <row r="337" spans="4:5" x14ac:dyDescent="0.2">
      <c r="D337" s="52"/>
      <c r="E337" s="52"/>
    </row>
    <row r="338" spans="4:5" x14ac:dyDescent="0.2">
      <c r="D338" s="52"/>
      <c r="E338" s="52"/>
    </row>
    <row r="339" spans="4:5" x14ac:dyDescent="0.2">
      <c r="D339" s="52"/>
      <c r="E339" s="52"/>
    </row>
    <row r="340" spans="4:5" x14ac:dyDescent="0.2">
      <c r="D340" s="52"/>
      <c r="E340" s="52"/>
    </row>
    <row r="341" spans="4:5" x14ac:dyDescent="0.2">
      <c r="D341" s="52"/>
      <c r="E341" s="52"/>
    </row>
    <row r="342" spans="4:5" x14ac:dyDescent="0.2">
      <c r="D342" s="52"/>
      <c r="E342" s="52"/>
    </row>
    <row r="343" spans="4:5" x14ac:dyDescent="0.2">
      <c r="D343" s="52"/>
      <c r="E343" s="52"/>
    </row>
    <row r="344" spans="4:5" x14ac:dyDescent="0.2">
      <c r="D344" s="52"/>
      <c r="E344" s="52"/>
    </row>
    <row r="345" spans="4:5" x14ac:dyDescent="0.2">
      <c r="D345" s="52"/>
      <c r="E345" s="52"/>
    </row>
    <row r="346" spans="4:5" x14ac:dyDescent="0.2">
      <c r="D346" s="52"/>
      <c r="E346" s="52"/>
    </row>
    <row r="347" spans="4:5" x14ac:dyDescent="0.2">
      <c r="D347" s="52"/>
      <c r="E347" s="52"/>
    </row>
    <row r="348" spans="4:5" x14ac:dyDescent="0.2">
      <c r="D348" s="52"/>
      <c r="E348" s="52"/>
    </row>
    <row r="349" spans="4:5" x14ac:dyDescent="0.2">
      <c r="D349" s="52"/>
      <c r="E349" s="52"/>
    </row>
    <row r="350" spans="4:5" x14ac:dyDescent="0.2">
      <c r="D350" s="52"/>
      <c r="E350" s="52"/>
    </row>
    <row r="351" spans="4:5" x14ac:dyDescent="0.2">
      <c r="D351" s="52"/>
      <c r="E351" s="52"/>
    </row>
    <row r="352" spans="4:5" x14ac:dyDescent="0.2">
      <c r="D352" s="52"/>
      <c r="E352" s="52"/>
    </row>
    <row r="353" spans="4:5" x14ac:dyDescent="0.2">
      <c r="D353" s="52"/>
      <c r="E353" s="52"/>
    </row>
    <row r="354" spans="4:5" x14ac:dyDescent="0.2">
      <c r="D354" s="52"/>
      <c r="E354" s="52"/>
    </row>
    <row r="355" spans="4:5" x14ac:dyDescent="0.2">
      <c r="D355" s="52"/>
      <c r="E355" s="52"/>
    </row>
    <row r="356" spans="4:5" x14ac:dyDescent="0.2">
      <c r="D356" s="52"/>
      <c r="E356" s="52"/>
    </row>
    <row r="357" spans="4:5" x14ac:dyDescent="0.2">
      <c r="D357" s="52"/>
      <c r="E357" s="52"/>
    </row>
    <row r="358" spans="4:5" x14ac:dyDescent="0.2">
      <c r="D358" s="52"/>
      <c r="E358" s="52"/>
    </row>
    <row r="359" spans="4:5" x14ac:dyDescent="0.2">
      <c r="D359" s="52"/>
      <c r="E359" s="52"/>
    </row>
    <row r="360" spans="4:5" x14ac:dyDescent="0.2">
      <c r="D360" s="52"/>
      <c r="E360" s="52"/>
    </row>
    <row r="361" spans="4:5" x14ac:dyDescent="0.2">
      <c r="D361" s="52"/>
      <c r="E361" s="52"/>
    </row>
    <row r="362" spans="4:5" x14ac:dyDescent="0.2">
      <c r="D362" s="52"/>
      <c r="E362" s="52"/>
    </row>
    <row r="363" spans="4:5" x14ac:dyDescent="0.2">
      <c r="D363" s="52"/>
      <c r="E363" s="52"/>
    </row>
    <row r="364" spans="4:5" x14ac:dyDescent="0.2">
      <c r="D364" s="52"/>
      <c r="E364" s="52"/>
    </row>
    <row r="365" spans="4:5" x14ac:dyDescent="0.2">
      <c r="D365" s="52"/>
      <c r="E365" s="52"/>
    </row>
    <row r="366" spans="4:5" x14ac:dyDescent="0.2">
      <c r="D366" s="52"/>
      <c r="E366" s="52"/>
    </row>
    <row r="367" spans="4:5" x14ac:dyDescent="0.2">
      <c r="D367" s="52"/>
      <c r="E367" s="52"/>
    </row>
    <row r="368" spans="4:5" x14ac:dyDescent="0.2">
      <c r="D368" s="52"/>
      <c r="E368" s="52"/>
    </row>
    <row r="369" spans="4:5" x14ac:dyDescent="0.2">
      <c r="D369" s="52"/>
      <c r="E369" s="52"/>
    </row>
    <row r="370" spans="4:5" x14ac:dyDescent="0.2">
      <c r="D370" s="52"/>
      <c r="E370" s="52"/>
    </row>
    <row r="371" spans="4:5" x14ac:dyDescent="0.2">
      <c r="D371" s="52"/>
      <c r="E371" s="52"/>
    </row>
    <row r="372" spans="4:5" x14ac:dyDescent="0.2">
      <c r="D372" s="52"/>
      <c r="E372" s="52"/>
    </row>
    <row r="373" spans="4:5" x14ac:dyDescent="0.2">
      <c r="D373" s="52"/>
      <c r="E373" s="52"/>
    </row>
    <row r="374" spans="4:5" x14ac:dyDescent="0.2">
      <c r="D374" s="52"/>
      <c r="E374" s="52"/>
    </row>
    <row r="375" spans="4:5" x14ac:dyDescent="0.2">
      <c r="D375" s="52"/>
      <c r="E375" s="52"/>
    </row>
    <row r="376" spans="4:5" x14ac:dyDescent="0.2">
      <c r="D376" s="52"/>
      <c r="E376" s="52"/>
    </row>
    <row r="377" spans="4:5" x14ac:dyDescent="0.2">
      <c r="D377" s="52"/>
      <c r="E377" s="52"/>
    </row>
    <row r="378" spans="4:5" x14ac:dyDescent="0.2">
      <c r="D378" s="52"/>
      <c r="E378" s="52"/>
    </row>
    <row r="379" spans="4:5" x14ac:dyDescent="0.2">
      <c r="D379" s="52"/>
      <c r="E379" s="52"/>
    </row>
    <row r="380" spans="4:5" x14ac:dyDescent="0.2">
      <c r="D380" s="52"/>
      <c r="E380" s="52"/>
    </row>
    <row r="381" spans="4:5" x14ac:dyDescent="0.2">
      <c r="D381" s="52"/>
      <c r="E381" s="52"/>
    </row>
    <row r="382" spans="4:5" x14ac:dyDescent="0.2">
      <c r="D382" s="52"/>
      <c r="E382" s="52"/>
    </row>
    <row r="383" spans="4:5" x14ac:dyDescent="0.2">
      <c r="D383" s="52"/>
      <c r="E383" s="52"/>
    </row>
    <row r="384" spans="4:5" x14ac:dyDescent="0.2">
      <c r="D384" s="52"/>
      <c r="E384" s="52"/>
    </row>
    <row r="385" spans="4:5" x14ac:dyDescent="0.2">
      <c r="D385" s="52"/>
      <c r="E385" s="52"/>
    </row>
    <row r="386" spans="4:5" x14ac:dyDescent="0.2">
      <c r="D386" s="52"/>
      <c r="E386" s="52"/>
    </row>
    <row r="387" spans="4:5" x14ac:dyDescent="0.2">
      <c r="D387" s="52"/>
      <c r="E387" s="52"/>
    </row>
    <row r="388" spans="4:5" x14ac:dyDescent="0.2">
      <c r="D388" s="52"/>
      <c r="E388" s="52"/>
    </row>
    <row r="389" spans="4:5" x14ac:dyDescent="0.2">
      <c r="D389" s="52"/>
      <c r="E389" s="52"/>
    </row>
    <row r="390" spans="4:5" x14ac:dyDescent="0.2">
      <c r="D390" s="52"/>
      <c r="E390" s="52"/>
    </row>
    <row r="391" spans="4:5" x14ac:dyDescent="0.2">
      <c r="D391" s="52"/>
      <c r="E391" s="52"/>
    </row>
    <row r="392" spans="4:5" x14ac:dyDescent="0.2">
      <c r="D392" s="52"/>
      <c r="E392" s="52"/>
    </row>
    <row r="393" spans="4:5" x14ac:dyDescent="0.2">
      <c r="D393" s="52"/>
      <c r="E393" s="52"/>
    </row>
    <row r="394" spans="4:5" x14ac:dyDescent="0.2">
      <c r="D394" s="52"/>
      <c r="E394" s="52"/>
    </row>
    <row r="395" spans="4:5" x14ac:dyDescent="0.2">
      <c r="D395" s="52"/>
      <c r="E395" s="52"/>
    </row>
    <row r="396" spans="4:5" x14ac:dyDescent="0.2">
      <c r="D396" s="52"/>
      <c r="E396" s="52"/>
    </row>
    <row r="397" spans="4:5" x14ac:dyDescent="0.2">
      <c r="D397" s="52"/>
      <c r="E397" s="52"/>
    </row>
    <row r="398" spans="4:5" x14ac:dyDescent="0.2">
      <c r="D398" s="52"/>
      <c r="E398" s="52"/>
    </row>
    <row r="399" spans="4:5" x14ac:dyDescent="0.2">
      <c r="D399" s="52"/>
      <c r="E399" s="52"/>
    </row>
    <row r="400" spans="4:5" x14ac:dyDescent="0.2">
      <c r="D400" s="52"/>
      <c r="E400" s="52"/>
    </row>
    <row r="401" spans="4:5" x14ac:dyDescent="0.2">
      <c r="D401" s="52"/>
      <c r="E401" s="52"/>
    </row>
    <row r="402" spans="4:5" x14ac:dyDescent="0.2">
      <c r="D402" s="52"/>
      <c r="E402" s="52"/>
    </row>
    <row r="403" spans="4:5" x14ac:dyDescent="0.2">
      <c r="D403" s="52"/>
      <c r="E403" s="52"/>
    </row>
    <row r="404" spans="4:5" x14ac:dyDescent="0.2">
      <c r="D404" s="52"/>
      <c r="E404" s="52"/>
    </row>
    <row r="405" spans="4:5" x14ac:dyDescent="0.2">
      <c r="D405" s="52"/>
      <c r="E405" s="52"/>
    </row>
    <row r="406" spans="4:5" x14ac:dyDescent="0.2">
      <c r="D406" s="52"/>
      <c r="E406" s="52"/>
    </row>
    <row r="407" spans="4:5" x14ac:dyDescent="0.2">
      <c r="D407" s="52"/>
      <c r="E407" s="52"/>
    </row>
    <row r="408" spans="4:5" x14ac:dyDescent="0.2">
      <c r="D408" s="52"/>
      <c r="E408" s="52"/>
    </row>
    <row r="409" spans="4:5" x14ac:dyDescent="0.2">
      <c r="D409" s="52"/>
      <c r="E409" s="52"/>
    </row>
    <row r="410" spans="4:5" x14ac:dyDescent="0.2">
      <c r="D410" s="52"/>
      <c r="E410" s="52"/>
    </row>
    <row r="411" spans="4:5" x14ac:dyDescent="0.2">
      <c r="D411" s="52"/>
      <c r="E411" s="52"/>
    </row>
    <row r="412" spans="4:5" x14ac:dyDescent="0.2">
      <c r="D412" s="52"/>
      <c r="E412" s="52"/>
    </row>
    <row r="413" spans="4:5" x14ac:dyDescent="0.2">
      <c r="D413" s="52"/>
      <c r="E413" s="52"/>
    </row>
    <row r="414" spans="4:5" x14ac:dyDescent="0.2">
      <c r="D414" s="52"/>
      <c r="E414" s="52"/>
    </row>
    <row r="415" spans="4:5" x14ac:dyDescent="0.2">
      <c r="D415" s="52"/>
      <c r="E415" s="52"/>
    </row>
    <row r="416" spans="4:5" x14ac:dyDescent="0.2">
      <c r="D416" s="52"/>
      <c r="E416" s="52"/>
    </row>
    <row r="417" spans="4:5" x14ac:dyDescent="0.2">
      <c r="D417" s="52"/>
      <c r="E417" s="52"/>
    </row>
    <row r="418" spans="4:5" x14ac:dyDescent="0.2">
      <c r="D418" s="52"/>
      <c r="E418" s="52"/>
    </row>
    <row r="419" spans="4:5" x14ac:dyDescent="0.2">
      <c r="D419" s="52"/>
      <c r="E419" s="52"/>
    </row>
    <row r="420" spans="4:5" x14ac:dyDescent="0.2">
      <c r="D420" s="52"/>
      <c r="E420" s="52"/>
    </row>
    <row r="421" spans="4:5" x14ac:dyDescent="0.2">
      <c r="D421" s="52"/>
      <c r="E421" s="52"/>
    </row>
    <row r="422" spans="4:5" x14ac:dyDescent="0.2">
      <c r="D422" s="52"/>
      <c r="E422" s="52"/>
    </row>
    <row r="423" spans="4:5" x14ac:dyDescent="0.2">
      <c r="D423" s="52"/>
      <c r="E423" s="52"/>
    </row>
    <row r="424" spans="4:5" x14ac:dyDescent="0.2">
      <c r="D424" s="52"/>
      <c r="E424" s="52"/>
    </row>
    <row r="425" spans="4:5" x14ac:dyDescent="0.2">
      <c r="D425" s="52"/>
      <c r="E425" s="52"/>
    </row>
    <row r="426" spans="4:5" x14ac:dyDescent="0.2">
      <c r="D426" s="52"/>
      <c r="E426" s="52"/>
    </row>
    <row r="427" spans="4:5" x14ac:dyDescent="0.2">
      <c r="D427" s="52"/>
      <c r="E427" s="52"/>
    </row>
    <row r="428" spans="4:5" x14ac:dyDescent="0.2">
      <c r="D428" s="52"/>
      <c r="E428" s="52"/>
    </row>
    <row r="429" spans="4:5" x14ac:dyDescent="0.2">
      <c r="D429" s="52"/>
      <c r="E429" s="52"/>
    </row>
    <row r="430" spans="4:5" x14ac:dyDescent="0.2">
      <c r="D430" s="52"/>
      <c r="E430" s="52"/>
    </row>
    <row r="431" spans="4:5" x14ac:dyDescent="0.2">
      <c r="D431" s="52"/>
      <c r="E431" s="52"/>
    </row>
    <row r="432" spans="4:5" x14ac:dyDescent="0.2">
      <c r="D432" s="52"/>
      <c r="E432" s="52"/>
    </row>
    <row r="433" spans="4:5" x14ac:dyDescent="0.2">
      <c r="D433" s="52"/>
      <c r="E433" s="52"/>
    </row>
    <row r="434" spans="4:5" x14ac:dyDescent="0.2">
      <c r="D434" s="52"/>
      <c r="E434" s="52"/>
    </row>
    <row r="435" spans="4:5" x14ac:dyDescent="0.2">
      <c r="D435" s="52"/>
      <c r="E435" s="52"/>
    </row>
    <row r="436" spans="4:5" x14ac:dyDescent="0.2">
      <c r="D436" s="52"/>
      <c r="E436" s="52"/>
    </row>
    <row r="437" spans="4:5" x14ac:dyDescent="0.2">
      <c r="D437" s="52"/>
      <c r="E437" s="52"/>
    </row>
    <row r="438" spans="4:5" x14ac:dyDescent="0.2">
      <c r="D438" s="52"/>
      <c r="E438" s="52"/>
    </row>
    <row r="439" spans="4:5" x14ac:dyDescent="0.2">
      <c r="D439" s="52"/>
      <c r="E439" s="52"/>
    </row>
    <row r="440" spans="4:5" x14ac:dyDescent="0.2">
      <c r="D440" s="52"/>
      <c r="E440" s="52"/>
    </row>
    <row r="441" spans="4:5" x14ac:dyDescent="0.2">
      <c r="D441" s="52"/>
      <c r="E441" s="52"/>
    </row>
    <row r="442" spans="4:5" x14ac:dyDescent="0.2">
      <c r="D442" s="52"/>
      <c r="E442" s="52"/>
    </row>
    <row r="443" spans="4:5" x14ac:dyDescent="0.2">
      <c r="D443" s="52"/>
      <c r="E443" s="52"/>
    </row>
    <row r="444" spans="4:5" x14ac:dyDescent="0.2">
      <c r="D444" s="52"/>
      <c r="E444" s="52"/>
    </row>
    <row r="445" spans="4:5" x14ac:dyDescent="0.2">
      <c r="D445" s="52"/>
      <c r="E445" s="52"/>
    </row>
    <row r="446" spans="4:5" x14ac:dyDescent="0.2">
      <c r="D446" s="52"/>
      <c r="E446" s="52"/>
    </row>
    <row r="447" spans="4:5" x14ac:dyDescent="0.2">
      <c r="D447" s="52"/>
      <c r="E447" s="52"/>
    </row>
    <row r="448" spans="4:5" x14ac:dyDescent="0.2">
      <c r="D448" s="52"/>
      <c r="E448" s="52"/>
    </row>
    <row r="449" spans="4:5" x14ac:dyDescent="0.2">
      <c r="D449" s="52"/>
      <c r="E449" s="52"/>
    </row>
    <row r="450" spans="4:5" x14ac:dyDescent="0.2">
      <c r="D450" s="52"/>
      <c r="E450" s="52"/>
    </row>
    <row r="451" spans="4:5" x14ac:dyDescent="0.2">
      <c r="D451" s="52"/>
      <c r="E451" s="52"/>
    </row>
    <row r="452" spans="4:5" x14ac:dyDescent="0.2">
      <c r="D452" s="52"/>
      <c r="E452" s="52"/>
    </row>
    <row r="453" spans="4:5" x14ac:dyDescent="0.2">
      <c r="D453" s="52"/>
      <c r="E453" s="52"/>
    </row>
    <row r="454" spans="4:5" x14ac:dyDescent="0.2">
      <c r="D454" s="52"/>
      <c r="E454" s="52"/>
    </row>
    <row r="455" spans="4:5" x14ac:dyDescent="0.2">
      <c r="D455" s="52"/>
      <c r="E455" s="52"/>
    </row>
    <row r="456" spans="4:5" x14ac:dyDescent="0.2">
      <c r="D456" s="52"/>
      <c r="E456" s="52"/>
    </row>
    <row r="457" spans="4:5" x14ac:dyDescent="0.2">
      <c r="D457" s="52"/>
      <c r="E457" s="52"/>
    </row>
    <row r="458" spans="4:5" x14ac:dyDescent="0.2">
      <c r="D458" s="52"/>
      <c r="E458" s="52"/>
    </row>
    <row r="459" spans="4:5" x14ac:dyDescent="0.2">
      <c r="D459" s="52"/>
      <c r="E459" s="52"/>
    </row>
    <row r="460" spans="4:5" x14ac:dyDescent="0.2">
      <c r="D460" s="52"/>
      <c r="E460" s="52"/>
    </row>
    <row r="461" spans="4:5" x14ac:dyDescent="0.2">
      <c r="D461" s="52"/>
      <c r="E461" s="52"/>
    </row>
    <row r="462" spans="4:5" x14ac:dyDescent="0.2">
      <c r="D462" s="52"/>
      <c r="E462" s="52"/>
    </row>
    <row r="463" spans="4:5" x14ac:dyDescent="0.2">
      <c r="D463" s="52"/>
      <c r="E463" s="52"/>
    </row>
    <row r="464" spans="4:5" x14ac:dyDescent="0.2">
      <c r="D464" s="52"/>
      <c r="E464" s="52"/>
    </row>
    <row r="465" spans="4:5" x14ac:dyDescent="0.2">
      <c r="D465" s="52"/>
      <c r="E465" s="52"/>
    </row>
    <row r="466" spans="4:5" x14ac:dyDescent="0.2">
      <c r="D466" s="52"/>
      <c r="E466" s="52"/>
    </row>
    <row r="467" spans="4:5" x14ac:dyDescent="0.2">
      <c r="D467" s="52"/>
      <c r="E467" s="52"/>
    </row>
    <row r="468" spans="4:5" x14ac:dyDescent="0.2">
      <c r="D468" s="52"/>
      <c r="E468" s="52"/>
    </row>
    <row r="469" spans="4:5" x14ac:dyDescent="0.2">
      <c r="D469" s="52"/>
      <c r="E469" s="52"/>
    </row>
    <row r="470" spans="4:5" x14ac:dyDescent="0.2">
      <c r="D470" s="52"/>
      <c r="E470" s="52"/>
    </row>
    <row r="471" spans="4:5" x14ac:dyDescent="0.2">
      <c r="D471" s="52"/>
      <c r="E471" s="52"/>
    </row>
    <row r="472" spans="4:5" x14ac:dyDescent="0.2">
      <c r="D472" s="52"/>
      <c r="E472" s="52"/>
    </row>
    <row r="473" spans="4:5" x14ac:dyDescent="0.2">
      <c r="D473" s="52"/>
      <c r="E473" s="52"/>
    </row>
    <row r="474" spans="4:5" x14ac:dyDescent="0.2">
      <c r="D474" s="52"/>
      <c r="E474" s="52"/>
    </row>
    <row r="475" spans="4:5" x14ac:dyDescent="0.2">
      <c r="D475" s="52"/>
      <c r="E475" s="52"/>
    </row>
    <row r="476" spans="4:5" x14ac:dyDescent="0.2">
      <c r="D476" s="52"/>
      <c r="E476" s="52"/>
    </row>
    <row r="477" spans="4:5" x14ac:dyDescent="0.2">
      <c r="D477" s="52"/>
      <c r="E477" s="52"/>
    </row>
    <row r="478" spans="4:5" x14ac:dyDescent="0.2">
      <c r="D478" s="52"/>
      <c r="E478" s="52"/>
    </row>
    <row r="479" spans="4:5" x14ac:dyDescent="0.2">
      <c r="D479" s="52"/>
      <c r="E479" s="52"/>
    </row>
    <row r="480" spans="4:5" x14ac:dyDescent="0.2">
      <c r="D480" s="52"/>
      <c r="E480" s="52"/>
    </row>
    <row r="481" spans="4:5" x14ac:dyDescent="0.2">
      <c r="D481" s="52"/>
      <c r="E481" s="52"/>
    </row>
    <row r="482" spans="4:5" x14ac:dyDescent="0.2">
      <c r="D482" s="52"/>
      <c r="E482" s="52"/>
    </row>
    <row r="483" spans="4:5" x14ac:dyDescent="0.2">
      <c r="D483" s="52"/>
      <c r="E483" s="52"/>
    </row>
    <row r="484" spans="4:5" x14ac:dyDescent="0.2">
      <c r="D484" s="52"/>
      <c r="E484" s="52"/>
    </row>
    <row r="485" spans="4:5" x14ac:dyDescent="0.2">
      <c r="D485" s="52"/>
      <c r="E485" s="52"/>
    </row>
    <row r="486" spans="4:5" x14ac:dyDescent="0.2">
      <c r="D486" s="52"/>
      <c r="E486" s="52"/>
    </row>
    <row r="487" spans="4:5" x14ac:dyDescent="0.2">
      <c r="D487" s="52"/>
      <c r="E487" s="52"/>
    </row>
    <row r="488" spans="4:5" x14ac:dyDescent="0.2">
      <c r="D488" s="52"/>
      <c r="E488" s="52"/>
    </row>
    <row r="489" spans="4:5" x14ac:dyDescent="0.2">
      <c r="D489" s="52"/>
      <c r="E489" s="52"/>
    </row>
    <row r="490" spans="4:5" x14ac:dyDescent="0.2">
      <c r="D490" s="52"/>
      <c r="E490" s="52"/>
    </row>
    <row r="491" spans="4:5" x14ac:dyDescent="0.2">
      <c r="D491" s="52"/>
      <c r="E491" s="52"/>
    </row>
    <row r="492" spans="4:5" x14ac:dyDescent="0.2">
      <c r="D492" s="52"/>
      <c r="E492" s="52"/>
    </row>
    <row r="493" spans="4:5" x14ac:dyDescent="0.2">
      <c r="D493" s="52"/>
      <c r="E493" s="52"/>
    </row>
    <row r="494" spans="4:5" x14ac:dyDescent="0.2">
      <c r="D494" s="52"/>
      <c r="E494" s="52"/>
    </row>
    <row r="495" spans="4:5" x14ac:dyDescent="0.2">
      <c r="D495" s="52"/>
      <c r="E495" s="52"/>
    </row>
    <row r="496" spans="4:5" x14ac:dyDescent="0.2">
      <c r="D496" s="52"/>
      <c r="E496" s="52"/>
    </row>
    <row r="497" spans="4:5" x14ac:dyDescent="0.2">
      <c r="D497" s="52"/>
      <c r="E497" s="52"/>
    </row>
    <row r="498" spans="4:5" x14ac:dyDescent="0.2">
      <c r="D498" s="52"/>
      <c r="E498" s="52"/>
    </row>
    <row r="499" spans="4:5" x14ac:dyDescent="0.2">
      <c r="D499" s="52"/>
      <c r="E499" s="52"/>
    </row>
    <row r="500" spans="4:5" x14ac:dyDescent="0.2">
      <c r="D500" s="52"/>
      <c r="E500" s="52"/>
    </row>
    <row r="501" spans="4:5" x14ac:dyDescent="0.2">
      <c r="D501" s="52"/>
      <c r="E501" s="52"/>
    </row>
    <row r="502" spans="4:5" x14ac:dyDescent="0.2">
      <c r="D502" s="52"/>
      <c r="E502" s="52"/>
    </row>
    <row r="503" spans="4:5" x14ac:dyDescent="0.2">
      <c r="D503" s="52"/>
      <c r="E503" s="52"/>
    </row>
    <row r="504" spans="4:5" x14ac:dyDescent="0.2">
      <c r="D504" s="52"/>
      <c r="E504" s="52"/>
    </row>
    <row r="505" spans="4:5" x14ac:dyDescent="0.2">
      <c r="D505" s="52"/>
      <c r="E505" s="52"/>
    </row>
    <row r="506" spans="4:5" x14ac:dyDescent="0.2">
      <c r="D506" s="52"/>
      <c r="E506" s="52"/>
    </row>
    <row r="507" spans="4:5" x14ac:dyDescent="0.2">
      <c r="D507" s="52"/>
      <c r="E507" s="52"/>
    </row>
    <row r="508" spans="4:5" x14ac:dyDescent="0.2">
      <c r="D508" s="52"/>
      <c r="E508" s="52"/>
    </row>
    <row r="509" spans="4:5" x14ac:dyDescent="0.2">
      <c r="D509" s="52"/>
      <c r="E509" s="52"/>
    </row>
    <row r="510" spans="4:5" x14ac:dyDescent="0.2">
      <c r="D510" s="52"/>
      <c r="E510" s="52"/>
    </row>
    <row r="511" spans="4:5" x14ac:dyDescent="0.2">
      <c r="D511" s="52"/>
      <c r="E511" s="52"/>
    </row>
    <row r="512" spans="4:5" x14ac:dyDescent="0.2">
      <c r="D512" s="52"/>
      <c r="E512" s="52"/>
    </row>
    <row r="513" spans="4:5" x14ac:dyDescent="0.2">
      <c r="D513" s="52"/>
      <c r="E513" s="52"/>
    </row>
    <row r="514" spans="4:5" x14ac:dyDescent="0.2">
      <c r="D514" s="52"/>
      <c r="E514" s="52"/>
    </row>
    <row r="515" spans="4:5" x14ac:dyDescent="0.2">
      <c r="D515" s="52"/>
      <c r="E515" s="52"/>
    </row>
    <row r="516" spans="4:5" x14ac:dyDescent="0.2">
      <c r="D516" s="52"/>
      <c r="E516" s="52"/>
    </row>
    <row r="517" spans="4:5" x14ac:dyDescent="0.2">
      <c r="D517" s="52"/>
      <c r="E517" s="52"/>
    </row>
    <row r="518" spans="4:5" x14ac:dyDescent="0.2">
      <c r="D518" s="52"/>
      <c r="E518" s="52"/>
    </row>
    <row r="519" spans="4:5" x14ac:dyDescent="0.2">
      <c r="D519" s="52"/>
      <c r="E519" s="52"/>
    </row>
    <row r="520" spans="4:5" x14ac:dyDescent="0.2">
      <c r="D520" s="52"/>
      <c r="E520" s="52"/>
    </row>
    <row r="521" spans="4:5" x14ac:dyDescent="0.2">
      <c r="D521" s="52"/>
      <c r="E521" s="52"/>
    </row>
    <row r="522" spans="4:5" x14ac:dyDescent="0.2">
      <c r="D522" s="52"/>
      <c r="E522" s="52"/>
    </row>
    <row r="523" spans="4:5" x14ac:dyDescent="0.2">
      <c r="D523" s="52"/>
      <c r="E523" s="52"/>
    </row>
    <row r="524" spans="4:5" x14ac:dyDescent="0.2">
      <c r="D524" s="52"/>
      <c r="E524" s="52"/>
    </row>
    <row r="525" spans="4:5" x14ac:dyDescent="0.2">
      <c r="D525" s="52"/>
      <c r="E525" s="52"/>
    </row>
    <row r="526" spans="4:5" x14ac:dyDescent="0.2">
      <c r="D526" s="52"/>
      <c r="E526" s="52"/>
    </row>
    <row r="527" spans="4:5" x14ac:dyDescent="0.2">
      <c r="D527" s="52"/>
      <c r="E527" s="52"/>
    </row>
    <row r="528" spans="4:5" x14ac:dyDescent="0.2">
      <c r="D528" s="52"/>
      <c r="E528" s="52"/>
    </row>
    <row r="529" spans="4:5" x14ac:dyDescent="0.2">
      <c r="D529" s="52"/>
      <c r="E529" s="52"/>
    </row>
    <row r="530" spans="4:5" x14ac:dyDescent="0.2">
      <c r="D530" s="52"/>
      <c r="E530" s="52"/>
    </row>
    <row r="531" spans="4:5" x14ac:dyDescent="0.2">
      <c r="D531" s="52"/>
      <c r="E531" s="52"/>
    </row>
    <row r="532" spans="4:5" x14ac:dyDescent="0.2">
      <c r="D532" s="52"/>
      <c r="E532" s="52"/>
    </row>
    <row r="533" spans="4:5" x14ac:dyDescent="0.2">
      <c r="D533" s="52"/>
      <c r="E533" s="52"/>
    </row>
    <row r="534" spans="4:5" x14ac:dyDescent="0.2">
      <c r="D534" s="52"/>
      <c r="E534" s="52"/>
    </row>
    <row r="535" spans="4:5" x14ac:dyDescent="0.2">
      <c r="D535" s="52"/>
      <c r="E535" s="52"/>
    </row>
    <row r="536" spans="4:5" x14ac:dyDescent="0.2">
      <c r="D536" s="52"/>
      <c r="E536" s="52"/>
    </row>
    <row r="537" spans="4:5" x14ac:dyDescent="0.2">
      <c r="D537" s="52"/>
      <c r="E537" s="52"/>
    </row>
    <row r="538" spans="4:5" x14ac:dyDescent="0.2">
      <c r="D538" s="52"/>
      <c r="E538" s="52"/>
    </row>
    <row r="539" spans="4:5" x14ac:dyDescent="0.2">
      <c r="D539" s="52"/>
      <c r="E539" s="52"/>
    </row>
    <row r="540" spans="4:5" x14ac:dyDescent="0.2">
      <c r="D540" s="52"/>
      <c r="E540" s="52"/>
    </row>
    <row r="541" spans="4:5" x14ac:dyDescent="0.2">
      <c r="D541" s="52"/>
      <c r="E541" s="52"/>
    </row>
    <row r="542" spans="4:5" x14ac:dyDescent="0.2">
      <c r="D542" s="52"/>
      <c r="E542" s="52"/>
    </row>
    <row r="543" spans="4:5" x14ac:dyDescent="0.2">
      <c r="D543" s="52"/>
      <c r="E543" s="52"/>
    </row>
    <row r="544" spans="4:5" x14ac:dyDescent="0.2">
      <c r="D544" s="52"/>
      <c r="E544" s="52"/>
    </row>
    <row r="545" spans="4:5" x14ac:dyDescent="0.2">
      <c r="D545" s="52"/>
      <c r="E545" s="52"/>
    </row>
    <row r="546" spans="4:5" x14ac:dyDescent="0.2">
      <c r="D546" s="52"/>
      <c r="E546" s="52"/>
    </row>
    <row r="547" spans="4:5" x14ac:dyDescent="0.2">
      <c r="D547" s="52"/>
      <c r="E547" s="52"/>
    </row>
    <row r="548" spans="4:5" x14ac:dyDescent="0.2">
      <c r="D548" s="52"/>
      <c r="E548" s="52"/>
    </row>
    <row r="549" spans="4:5" x14ac:dyDescent="0.2">
      <c r="D549" s="52"/>
      <c r="E549" s="52"/>
    </row>
    <row r="550" spans="4:5" x14ac:dyDescent="0.2">
      <c r="D550" s="52"/>
      <c r="E550" s="52"/>
    </row>
    <row r="551" spans="4:5" x14ac:dyDescent="0.2">
      <c r="D551" s="52"/>
      <c r="E551" s="52"/>
    </row>
    <row r="552" spans="4:5" x14ac:dyDescent="0.2">
      <c r="D552" s="52"/>
      <c r="E552" s="52"/>
    </row>
    <row r="553" spans="4:5" x14ac:dyDescent="0.2">
      <c r="D553" s="52"/>
      <c r="E553" s="52"/>
    </row>
    <row r="554" spans="4:5" x14ac:dyDescent="0.2">
      <c r="D554" s="52"/>
      <c r="E554" s="52"/>
    </row>
    <row r="555" spans="4:5" x14ac:dyDescent="0.2">
      <c r="D555" s="52"/>
      <c r="E555" s="52"/>
    </row>
    <row r="556" spans="4:5" x14ac:dyDescent="0.2">
      <c r="D556" s="52"/>
      <c r="E556" s="52"/>
    </row>
    <row r="557" spans="4:5" x14ac:dyDescent="0.2">
      <c r="D557" s="52"/>
      <c r="E557" s="52"/>
    </row>
    <row r="558" spans="4:5" x14ac:dyDescent="0.2">
      <c r="D558" s="52"/>
      <c r="E558" s="52"/>
    </row>
    <row r="559" spans="4:5" x14ac:dyDescent="0.2">
      <c r="D559" s="52"/>
      <c r="E559" s="52"/>
    </row>
    <row r="560" spans="4:5" x14ac:dyDescent="0.2">
      <c r="D560" s="52"/>
      <c r="E560" s="52"/>
    </row>
    <row r="561" spans="4:5" x14ac:dyDescent="0.2">
      <c r="D561" s="52"/>
      <c r="E561" s="52"/>
    </row>
    <row r="562" spans="4:5" x14ac:dyDescent="0.2">
      <c r="D562" s="52"/>
      <c r="E562" s="52"/>
    </row>
    <row r="563" spans="4:5" x14ac:dyDescent="0.2">
      <c r="D563" s="52"/>
      <c r="E563" s="52"/>
    </row>
    <row r="564" spans="4:5" x14ac:dyDescent="0.2">
      <c r="D564" s="52"/>
      <c r="E564" s="52"/>
    </row>
    <row r="565" spans="4:5" x14ac:dyDescent="0.2">
      <c r="D565" s="52"/>
      <c r="E565" s="52"/>
    </row>
    <row r="566" spans="4:5" x14ac:dyDescent="0.2">
      <c r="D566" s="52"/>
      <c r="E566" s="52"/>
    </row>
    <row r="567" spans="4:5" x14ac:dyDescent="0.2">
      <c r="D567" s="52"/>
      <c r="E567" s="52"/>
    </row>
    <row r="568" spans="4:5" x14ac:dyDescent="0.2">
      <c r="D568" s="52"/>
      <c r="E568" s="52"/>
    </row>
    <row r="569" spans="4:5" x14ac:dyDescent="0.2">
      <c r="D569" s="52"/>
      <c r="E569" s="52"/>
    </row>
    <row r="570" spans="4:5" x14ac:dyDescent="0.2">
      <c r="D570" s="52"/>
      <c r="E570" s="52"/>
    </row>
    <row r="571" spans="4:5" x14ac:dyDescent="0.2">
      <c r="D571" s="52"/>
      <c r="E571" s="52"/>
    </row>
    <row r="572" spans="4:5" x14ac:dyDescent="0.2">
      <c r="D572" s="52"/>
      <c r="E572" s="52"/>
    </row>
    <row r="573" spans="4:5" x14ac:dyDescent="0.2">
      <c r="D573" s="52"/>
      <c r="E573" s="52"/>
    </row>
    <row r="574" spans="4:5" x14ac:dyDescent="0.2">
      <c r="D574" s="52"/>
      <c r="E574" s="52"/>
    </row>
    <row r="575" spans="4:5" x14ac:dyDescent="0.2">
      <c r="D575" s="52"/>
      <c r="E575" s="52"/>
    </row>
    <row r="576" spans="4:5" x14ac:dyDescent="0.2">
      <c r="D576" s="52"/>
      <c r="E576" s="52"/>
    </row>
    <row r="577" spans="4:5" x14ac:dyDescent="0.2">
      <c r="D577" s="52"/>
      <c r="E577" s="52"/>
    </row>
    <row r="578" spans="4:5" x14ac:dyDescent="0.2">
      <c r="D578" s="52"/>
      <c r="E578" s="52"/>
    </row>
    <row r="579" spans="4:5" x14ac:dyDescent="0.2">
      <c r="D579" s="52"/>
      <c r="E579" s="52"/>
    </row>
    <row r="580" spans="4:5" x14ac:dyDescent="0.2">
      <c r="D580" s="52"/>
      <c r="E580" s="52"/>
    </row>
    <row r="581" spans="4:5" x14ac:dyDescent="0.2">
      <c r="D581" s="52"/>
      <c r="E581" s="52"/>
    </row>
    <row r="582" spans="4:5" x14ac:dyDescent="0.2">
      <c r="D582" s="52"/>
      <c r="E582" s="52"/>
    </row>
    <row r="583" spans="4:5" x14ac:dyDescent="0.2">
      <c r="D583" s="52"/>
      <c r="E583" s="52"/>
    </row>
    <row r="584" spans="4:5" x14ac:dyDescent="0.2">
      <c r="D584" s="52"/>
      <c r="E584" s="52"/>
    </row>
    <row r="585" spans="4:5" x14ac:dyDescent="0.2">
      <c r="D585" s="52"/>
      <c r="E585" s="52"/>
    </row>
    <row r="586" spans="4:5" x14ac:dyDescent="0.2">
      <c r="D586" s="52"/>
      <c r="E586" s="52"/>
    </row>
    <row r="587" spans="4:5" x14ac:dyDescent="0.2">
      <c r="D587" s="52"/>
      <c r="E587" s="52"/>
    </row>
    <row r="588" spans="4:5" x14ac:dyDescent="0.2">
      <c r="D588" s="52"/>
      <c r="E588" s="52"/>
    </row>
    <row r="589" spans="4:5" x14ac:dyDescent="0.2">
      <c r="D589" s="52"/>
      <c r="E589" s="52"/>
    </row>
    <row r="590" spans="4:5" x14ac:dyDescent="0.2">
      <c r="D590" s="52"/>
      <c r="E590" s="52"/>
    </row>
    <row r="591" spans="4:5" x14ac:dyDescent="0.2">
      <c r="D591" s="52"/>
      <c r="E591" s="52"/>
    </row>
    <row r="592" spans="4:5" x14ac:dyDescent="0.2">
      <c r="D592" s="52"/>
      <c r="E592" s="52"/>
    </row>
    <row r="593" spans="4:5" x14ac:dyDescent="0.2">
      <c r="D593" s="52"/>
      <c r="E593" s="52"/>
    </row>
    <row r="594" spans="4:5" x14ac:dyDescent="0.2">
      <c r="D594" s="52"/>
      <c r="E594" s="52"/>
    </row>
    <row r="595" spans="4:5" x14ac:dyDescent="0.2">
      <c r="D595" s="52"/>
      <c r="E595" s="52"/>
    </row>
    <row r="596" spans="4:5" x14ac:dyDescent="0.2">
      <c r="D596" s="52"/>
      <c r="E596" s="52"/>
    </row>
    <row r="597" spans="4:5" x14ac:dyDescent="0.2">
      <c r="D597" s="52"/>
      <c r="E597" s="52"/>
    </row>
    <row r="598" spans="4:5" x14ac:dyDescent="0.2">
      <c r="D598" s="52"/>
      <c r="E598" s="52"/>
    </row>
    <row r="599" spans="4:5" x14ac:dyDescent="0.2">
      <c r="D599" s="52"/>
      <c r="E599" s="52"/>
    </row>
    <row r="600" spans="4:5" x14ac:dyDescent="0.2">
      <c r="D600" s="52"/>
      <c r="E600" s="52"/>
    </row>
    <row r="601" spans="4:5" x14ac:dyDescent="0.2">
      <c r="D601" s="52"/>
      <c r="E601" s="52"/>
    </row>
    <row r="602" spans="4:5" x14ac:dyDescent="0.2">
      <c r="D602" s="52"/>
      <c r="E602" s="52"/>
    </row>
    <row r="603" spans="4:5" x14ac:dyDescent="0.2">
      <c r="D603" s="52"/>
      <c r="E603" s="52"/>
    </row>
    <row r="604" spans="4:5" x14ac:dyDescent="0.2">
      <c r="D604" s="52"/>
      <c r="E604" s="52"/>
    </row>
    <row r="605" spans="4:5" x14ac:dyDescent="0.2">
      <c r="D605" s="52"/>
      <c r="E605" s="52"/>
    </row>
    <row r="606" spans="4:5" x14ac:dyDescent="0.2">
      <c r="D606" s="52"/>
      <c r="E606" s="52"/>
    </row>
    <row r="607" spans="4:5" x14ac:dyDescent="0.2">
      <c r="D607" s="52"/>
      <c r="E607" s="52"/>
    </row>
    <row r="608" spans="4:5" x14ac:dyDescent="0.2">
      <c r="D608" s="52"/>
      <c r="E608" s="52"/>
    </row>
    <row r="609" spans="4:5" x14ac:dyDescent="0.2">
      <c r="D609" s="52"/>
      <c r="E609" s="52"/>
    </row>
    <row r="610" spans="4:5" x14ac:dyDescent="0.2">
      <c r="D610" s="52"/>
      <c r="E610" s="52"/>
    </row>
    <row r="611" spans="4:5" x14ac:dyDescent="0.2">
      <c r="D611" s="52"/>
      <c r="E611" s="52"/>
    </row>
    <row r="612" spans="4:5" x14ac:dyDescent="0.2">
      <c r="D612" s="52"/>
      <c r="E612" s="52"/>
    </row>
    <row r="613" spans="4:5" x14ac:dyDescent="0.2">
      <c r="D613" s="52"/>
      <c r="E613" s="52"/>
    </row>
    <row r="614" spans="4:5" x14ac:dyDescent="0.2">
      <c r="D614" s="52"/>
      <c r="E614" s="52"/>
    </row>
    <row r="615" spans="4:5" x14ac:dyDescent="0.2">
      <c r="D615" s="52"/>
      <c r="E615" s="52"/>
    </row>
    <row r="616" spans="4:5" x14ac:dyDescent="0.2">
      <c r="D616" s="52"/>
      <c r="E616" s="52"/>
    </row>
    <row r="617" spans="4:5" x14ac:dyDescent="0.2">
      <c r="D617" s="52"/>
      <c r="E617" s="52"/>
    </row>
    <row r="618" spans="4:5" x14ac:dyDescent="0.2">
      <c r="D618" s="52"/>
      <c r="E618" s="52"/>
    </row>
    <row r="619" spans="4:5" x14ac:dyDescent="0.2">
      <c r="D619" s="52"/>
      <c r="E619" s="52"/>
    </row>
    <row r="620" spans="4:5" x14ac:dyDescent="0.2">
      <c r="D620" s="52"/>
      <c r="E620" s="52"/>
    </row>
    <row r="621" spans="4:5" x14ac:dyDescent="0.2">
      <c r="D621" s="52"/>
      <c r="E621" s="52"/>
    </row>
    <row r="622" spans="4:5" x14ac:dyDescent="0.2">
      <c r="D622" s="52"/>
      <c r="E622" s="52"/>
    </row>
    <row r="623" spans="4:5" x14ac:dyDescent="0.2">
      <c r="D623" s="52"/>
      <c r="E623" s="52"/>
    </row>
    <row r="624" spans="4:5" x14ac:dyDescent="0.2">
      <c r="D624" s="52"/>
      <c r="E624" s="52"/>
    </row>
    <row r="625" spans="4:5" x14ac:dyDescent="0.2">
      <c r="D625" s="52"/>
      <c r="E625" s="52"/>
    </row>
    <row r="626" spans="4:5" x14ac:dyDescent="0.2">
      <c r="D626" s="52"/>
      <c r="E626" s="52"/>
    </row>
    <row r="627" spans="4:5" x14ac:dyDescent="0.2">
      <c r="D627" s="52"/>
      <c r="E627" s="52"/>
    </row>
    <row r="628" spans="4:5" x14ac:dyDescent="0.2">
      <c r="D628" s="52"/>
      <c r="E628" s="52"/>
    </row>
    <row r="629" spans="4:5" x14ac:dyDescent="0.2">
      <c r="D629" s="52"/>
      <c r="E629" s="52"/>
    </row>
    <row r="630" spans="4:5" x14ac:dyDescent="0.2">
      <c r="D630" s="52"/>
      <c r="E630" s="52"/>
    </row>
    <row r="631" spans="4:5" x14ac:dyDescent="0.2">
      <c r="D631" s="52"/>
      <c r="E631" s="52"/>
    </row>
    <row r="632" spans="4:5" x14ac:dyDescent="0.2">
      <c r="D632" s="52"/>
      <c r="E632" s="52"/>
    </row>
    <row r="633" spans="4:5" x14ac:dyDescent="0.2">
      <c r="D633" s="52"/>
      <c r="E633" s="52"/>
    </row>
    <row r="634" spans="4:5" x14ac:dyDescent="0.2">
      <c r="D634" s="52"/>
      <c r="E634" s="52"/>
    </row>
    <row r="635" spans="4:5" x14ac:dyDescent="0.2">
      <c r="D635" s="52"/>
      <c r="E635" s="52"/>
    </row>
    <row r="636" spans="4:5" x14ac:dyDescent="0.2">
      <c r="D636" s="52"/>
      <c r="E636" s="52"/>
    </row>
    <row r="637" spans="4:5" x14ac:dyDescent="0.2">
      <c r="D637" s="52"/>
      <c r="E637" s="52"/>
    </row>
    <row r="638" spans="4:5" x14ac:dyDescent="0.2">
      <c r="D638" s="52"/>
      <c r="E638" s="52"/>
    </row>
    <row r="639" spans="4:5" x14ac:dyDescent="0.2">
      <c r="D639" s="52"/>
      <c r="E639" s="52"/>
    </row>
    <row r="640" spans="4:5" x14ac:dyDescent="0.2">
      <c r="D640" s="52"/>
      <c r="E640" s="52"/>
    </row>
    <row r="641" spans="4:5" x14ac:dyDescent="0.2">
      <c r="D641" s="52"/>
      <c r="E641" s="52"/>
    </row>
    <row r="642" spans="4:5" x14ac:dyDescent="0.2">
      <c r="D642" s="52"/>
      <c r="E642" s="52"/>
    </row>
    <row r="643" spans="4:5" x14ac:dyDescent="0.2">
      <c r="D643" s="52"/>
      <c r="E643" s="52"/>
    </row>
    <row r="644" spans="4:5" x14ac:dyDescent="0.2">
      <c r="D644" s="52"/>
      <c r="E644" s="52"/>
    </row>
    <row r="645" spans="4:5" x14ac:dyDescent="0.2">
      <c r="D645" s="52"/>
      <c r="E645" s="52"/>
    </row>
    <row r="646" spans="4:5" x14ac:dyDescent="0.2">
      <c r="D646" s="52"/>
      <c r="E646" s="52"/>
    </row>
    <row r="647" spans="4:5" x14ac:dyDescent="0.2">
      <c r="D647" s="52"/>
      <c r="E647" s="52"/>
    </row>
    <row r="648" spans="4:5" x14ac:dyDescent="0.2">
      <c r="D648" s="52"/>
      <c r="E648" s="52"/>
    </row>
    <row r="649" spans="4:5" x14ac:dyDescent="0.2">
      <c r="D649" s="52"/>
      <c r="E649" s="52"/>
    </row>
    <row r="650" spans="4:5" x14ac:dyDescent="0.2">
      <c r="D650" s="52"/>
      <c r="E650" s="52"/>
    </row>
    <row r="651" spans="4:5" x14ac:dyDescent="0.2">
      <c r="D651" s="52"/>
      <c r="E651" s="52"/>
    </row>
    <row r="652" spans="4:5" x14ac:dyDescent="0.2">
      <c r="D652" s="52"/>
      <c r="E652" s="52"/>
    </row>
    <row r="653" spans="4:5" x14ac:dyDescent="0.2">
      <c r="D653" s="52"/>
      <c r="E653" s="52"/>
    </row>
    <row r="654" spans="4:5" x14ac:dyDescent="0.2">
      <c r="D654" s="52"/>
      <c r="E654" s="52"/>
    </row>
    <row r="655" spans="4:5" x14ac:dyDescent="0.2">
      <c r="D655" s="52"/>
      <c r="E655" s="52"/>
    </row>
    <row r="656" spans="4:5" x14ac:dyDescent="0.2">
      <c r="D656" s="52"/>
      <c r="E656" s="52"/>
    </row>
    <row r="657" spans="4:5" x14ac:dyDescent="0.2">
      <c r="D657" s="52"/>
      <c r="E657" s="52"/>
    </row>
    <row r="658" spans="4:5" x14ac:dyDescent="0.2">
      <c r="D658" s="52"/>
      <c r="E658" s="52"/>
    </row>
    <row r="659" spans="4:5" x14ac:dyDescent="0.2">
      <c r="D659" s="52"/>
      <c r="E659" s="52"/>
    </row>
    <row r="660" spans="4:5" x14ac:dyDescent="0.2">
      <c r="D660" s="52"/>
      <c r="E660" s="52"/>
    </row>
    <row r="661" spans="4:5" x14ac:dyDescent="0.2">
      <c r="D661" s="52"/>
      <c r="E661" s="52"/>
    </row>
    <row r="662" spans="4:5" x14ac:dyDescent="0.2">
      <c r="D662" s="52"/>
      <c r="E662" s="52"/>
    </row>
    <row r="663" spans="4:5" x14ac:dyDescent="0.2">
      <c r="D663" s="52"/>
      <c r="E663" s="52"/>
    </row>
    <row r="664" spans="4:5" x14ac:dyDescent="0.2">
      <c r="D664" s="52"/>
      <c r="E664" s="52"/>
    </row>
    <row r="665" spans="4:5" x14ac:dyDescent="0.2">
      <c r="D665" s="52"/>
      <c r="E665" s="52"/>
    </row>
    <row r="666" spans="4:5" x14ac:dyDescent="0.2">
      <c r="D666" s="52"/>
      <c r="E666" s="52"/>
    </row>
    <row r="667" spans="4:5" x14ac:dyDescent="0.2">
      <c r="D667" s="52"/>
      <c r="E667" s="52"/>
    </row>
    <row r="668" spans="4:5" x14ac:dyDescent="0.2">
      <c r="D668" s="52"/>
      <c r="E668" s="52"/>
    </row>
    <row r="669" spans="4:5" x14ac:dyDescent="0.2">
      <c r="D669" s="52"/>
      <c r="E669" s="52"/>
    </row>
    <row r="670" spans="4:5" x14ac:dyDescent="0.2">
      <c r="D670" s="52"/>
      <c r="E670" s="52"/>
    </row>
    <row r="671" spans="4:5" x14ac:dyDescent="0.2">
      <c r="D671" s="52"/>
      <c r="E671" s="52"/>
    </row>
    <row r="672" spans="4:5" x14ac:dyDescent="0.2">
      <c r="D672" s="52"/>
      <c r="E672" s="52"/>
    </row>
    <row r="673" spans="4:5" x14ac:dyDescent="0.2">
      <c r="D673" s="52"/>
      <c r="E673" s="52"/>
    </row>
    <row r="674" spans="4:5" x14ac:dyDescent="0.2">
      <c r="D674" s="52"/>
      <c r="E674" s="52"/>
    </row>
    <row r="675" spans="4:5" x14ac:dyDescent="0.2">
      <c r="D675" s="52"/>
      <c r="E675" s="52"/>
    </row>
    <row r="676" spans="4:5" x14ac:dyDescent="0.2">
      <c r="D676" s="52"/>
      <c r="E676" s="52"/>
    </row>
    <row r="677" spans="4:5" x14ac:dyDescent="0.2">
      <c r="D677" s="52"/>
      <c r="E677" s="52"/>
    </row>
    <row r="678" spans="4:5" x14ac:dyDescent="0.2">
      <c r="D678" s="52"/>
      <c r="E678" s="52"/>
    </row>
    <row r="679" spans="4:5" x14ac:dyDescent="0.2">
      <c r="D679" s="52"/>
      <c r="E679" s="52"/>
    </row>
    <row r="680" spans="4:5" x14ac:dyDescent="0.2">
      <c r="D680" s="52"/>
      <c r="E680" s="52"/>
    </row>
    <row r="681" spans="4:5" x14ac:dyDescent="0.2">
      <c r="D681" s="52"/>
      <c r="E681" s="52"/>
    </row>
    <row r="682" spans="4:5" x14ac:dyDescent="0.2">
      <c r="D682" s="52"/>
      <c r="E682" s="52"/>
    </row>
    <row r="683" spans="4:5" x14ac:dyDescent="0.2">
      <c r="D683" s="52"/>
      <c r="E683" s="52"/>
    </row>
    <row r="684" spans="4:5" x14ac:dyDescent="0.2">
      <c r="D684" s="52"/>
      <c r="E684" s="52"/>
    </row>
    <row r="685" spans="4:5" x14ac:dyDescent="0.2">
      <c r="D685" s="52"/>
      <c r="E685" s="52"/>
    </row>
    <row r="686" spans="4:5" x14ac:dyDescent="0.2">
      <c r="D686" s="52"/>
      <c r="E686" s="52"/>
    </row>
    <row r="687" spans="4:5" x14ac:dyDescent="0.2">
      <c r="D687" s="52"/>
      <c r="E687" s="52"/>
    </row>
    <row r="688" spans="4:5" x14ac:dyDescent="0.2">
      <c r="D688" s="52"/>
      <c r="E688" s="52"/>
    </row>
    <row r="689" spans="4:5" x14ac:dyDescent="0.2">
      <c r="D689" s="52"/>
      <c r="E689" s="52"/>
    </row>
    <row r="690" spans="4:5" x14ac:dyDescent="0.2">
      <c r="D690" s="52"/>
      <c r="E690" s="52"/>
    </row>
    <row r="691" spans="4:5" x14ac:dyDescent="0.2">
      <c r="D691" s="52"/>
      <c r="E691" s="52"/>
    </row>
    <row r="692" spans="4:5" x14ac:dyDescent="0.2">
      <c r="D692" s="52"/>
      <c r="E692" s="52"/>
    </row>
    <row r="693" spans="4:5" x14ac:dyDescent="0.2">
      <c r="D693" s="52"/>
      <c r="E693" s="52"/>
    </row>
    <row r="694" spans="4:5" x14ac:dyDescent="0.2">
      <c r="D694" s="52"/>
      <c r="E694" s="52"/>
    </row>
    <row r="695" spans="4:5" x14ac:dyDescent="0.2">
      <c r="D695" s="52"/>
      <c r="E695" s="52"/>
    </row>
    <row r="696" spans="4:5" x14ac:dyDescent="0.2">
      <c r="D696" s="52"/>
      <c r="E696" s="52"/>
    </row>
    <row r="697" spans="4:5" x14ac:dyDescent="0.2">
      <c r="D697" s="52"/>
      <c r="E697" s="52"/>
    </row>
    <row r="698" spans="4:5" x14ac:dyDescent="0.2">
      <c r="D698" s="52"/>
      <c r="E698" s="52"/>
    </row>
    <row r="699" spans="4:5" x14ac:dyDescent="0.2">
      <c r="D699" s="52"/>
      <c r="E699" s="52"/>
    </row>
    <row r="700" spans="4:5" x14ac:dyDescent="0.2">
      <c r="D700" s="52"/>
      <c r="E700" s="52"/>
    </row>
    <row r="701" spans="4:5" x14ac:dyDescent="0.2">
      <c r="D701" s="52"/>
      <c r="E701" s="52"/>
    </row>
    <row r="702" spans="4:5" x14ac:dyDescent="0.2">
      <c r="D702" s="52"/>
      <c r="E702" s="52"/>
    </row>
    <row r="703" spans="4:5" x14ac:dyDescent="0.2">
      <c r="D703" s="52"/>
      <c r="E703" s="52"/>
    </row>
    <row r="704" spans="4:5" x14ac:dyDescent="0.2">
      <c r="D704" s="52"/>
      <c r="E704" s="52"/>
    </row>
    <row r="705" spans="4:5" x14ac:dyDescent="0.2">
      <c r="D705" s="52"/>
      <c r="E705" s="52"/>
    </row>
    <row r="706" spans="4:5" x14ac:dyDescent="0.2">
      <c r="D706" s="52"/>
      <c r="E706" s="52"/>
    </row>
    <row r="707" spans="4:5" x14ac:dyDescent="0.2">
      <c r="D707" s="52"/>
      <c r="E707" s="52"/>
    </row>
    <row r="708" spans="4:5" x14ac:dyDescent="0.2">
      <c r="D708" s="52"/>
      <c r="E708" s="52"/>
    </row>
    <row r="709" spans="4:5" x14ac:dyDescent="0.2">
      <c r="D709" s="52"/>
      <c r="E709" s="52"/>
    </row>
    <row r="710" spans="4:5" x14ac:dyDescent="0.2">
      <c r="D710" s="52"/>
      <c r="E710" s="52"/>
    </row>
    <row r="711" spans="4:5" x14ac:dyDescent="0.2">
      <c r="D711" s="52"/>
      <c r="E711" s="52"/>
    </row>
    <row r="712" spans="4:5" x14ac:dyDescent="0.2">
      <c r="D712" s="52"/>
      <c r="E712" s="52"/>
    </row>
    <row r="713" spans="4:5" x14ac:dyDescent="0.2">
      <c r="D713" s="52"/>
      <c r="E713" s="52"/>
    </row>
    <row r="714" spans="4:5" x14ac:dyDescent="0.2">
      <c r="D714" s="52"/>
      <c r="E714" s="52"/>
    </row>
    <row r="715" spans="4:5" x14ac:dyDescent="0.2">
      <c r="D715" s="52"/>
      <c r="E715" s="52"/>
    </row>
    <row r="716" spans="4:5" x14ac:dyDescent="0.2">
      <c r="D716" s="52"/>
      <c r="E716" s="52"/>
    </row>
    <row r="717" spans="4:5" x14ac:dyDescent="0.2">
      <c r="D717" s="52"/>
      <c r="E717" s="52"/>
    </row>
    <row r="718" spans="4:5" x14ac:dyDescent="0.2">
      <c r="D718" s="52"/>
      <c r="E718" s="52"/>
    </row>
    <row r="719" spans="4:5" x14ac:dyDescent="0.2">
      <c r="D719" s="52"/>
      <c r="E719" s="52"/>
    </row>
    <row r="720" spans="4:5" x14ac:dyDescent="0.2">
      <c r="D720" s="52"/>
      <c r="E720" s="52"/>
    </row>
    <row r="721" spans="4:5" x14ac:dyDescent="0.2">
      <c r="D721" s="52"/>
      <c r="E721" s="52"/>
    </row>
    <row r="722" spans="4:5" x14ac:dyDescent="0.2">
      <c r="D722" s="52"/>
      <c r="E722" s="52"/>
    </row>
    <row r="723" spans="4:5" x14ac:dyDescent="0.2">
      <c r="D723" s="52"/>
      <c r="E723" s="52"/>
    </row>
    <row r="724" spans="4:5" x14ac:dyDescent="0.2">
      <c r="D724" s="52"/>
      <c r="E724" s="52"/>
    </row>
    <row r="725" spans="4:5" x14ac:dyDescent="0.2">
      <c r="D725" s="52"/>
      <c r="E725" s="52"/>
    </row>
    <row r="726" spans="4:5" x14ac:dyDescent="0.2">
      <c r="D726" s="52"/>
      <c r="E726" s="52"/>
    </row>
    <row r="727" spans="4:5" x14ac:dyDescent="0.2">
      <c r="D727" s="52"/>
      <c r="E727" s="52"/>
    </row>
    <row r="728" spans="4:5" x14ac:dyDescent="0.2">
      <c r="D728" s="52"/>
      <c r="E728" s="52"/>
    </row>
    <row r="729" spans="4:5" x14ac:dyDescent="0.2">
      <c r="D729" s="52"/>
      <c r="E729" s="52"/>
    </row>
    <row r="730" spans="4:5" x14ac:dyDescent="0.2">
      <c r="D730" s="52"/>
      <c r="E730" s="52"/>
    </row>
    <row r="731" spans="4:5" x14ac:dyDescent="0.2">
      <c r="D731" s="52"/>
      <c r="E731" s="52"/>
    </row>
    <row r="732" spans="4:5" x14ac:dyDescent="0.2">
      <c r="D732" s="52"/>
      <c r="E732" s="52"/>
    </row>
    <row r="733" spans="4:5" x14ac:dyDescent="0.2">
      <c r="D733" s="52"/>
      <c r="E733" s="52"/>
    </row>
    <row r="734" spans="4:5" x14ac:dyDescent="0.2">
      <c r="D734" s="52"/>
      <c r="E734" s="52"/>
    </row>
    <row r="735" spans="4:5" x14ac:dyDescent="0.2">
      <c r="D735" s="52"/>
      <c r="E735" s="52"/>
    </row>
    <row r="736" spans="4:5" x14ac:dyDescent="0.2">
      <c r="D736" s="52"/>
      <c r="E736" s="52"/>
    </row>
    <row r="737" spans="4:5" x14ac:dyDescent="0.2">
      <c r="D737" s="52"/>
      <c r="E737" s="52"/>
    </row>
    <row r="738" spans="4:5" x14ac:dyDescent="0.2">
      <c r="D738" s="52"/>
      <c r="E738" s="52"/>
    </row>
    <row r="739" spans="4:5" x14ac:dyDescent="0.2">
      <c r="D739" s="52"/>
      <c r="E739" s="52"/>
    </row>
    <row r="740" spans="4:5" x14ac:dyDescent="0.2">
      <c r="D740" s="52"/>
      <c r="E740" s="52"/>
    </row>
    <row r="741" spans="4:5" x14ac:dyDescent="0.2">
      <c r="D741" s="52"/>
      <c r="E741" s="52"/>
    </row>
    <row r="742" spans="4:5" x14ac:dyDescent="0.2">
      <c r="D742" s="52"/>
      <c r="E742" s="52"/>
    </row>
    <row r="743" spans="4:5" x14ac:dyDescent="0.2">
      <c r="D743" s="52"/>
      <c r="E743" s="52"/>
    </row>
    <row r="744" spans="4:5" x14ac:dyDescent="0.2">
      <c r="D744" s="52"/>
      <c r="E744" s="52"/>
    </row>
    <row r="745" spans="4:5" x14ac:dyDescent="0.2">
      <c r="D745" s="52"/>
      <c r="E745" s="52"/>
    </row>
    <row r="746" spans="4:5" x14ac:dyDescent="0.2">
      <c r="D746" s="52"/>
      <c r="E746" s="52"/>
    </row>
    <row r="747" spans="4:5" x14ac:dyDescent="0.2">
      <c r="D747" s="52"/>
      <c r="E747" s="52"/>
    </row>
    <row r="748" spans="4:5" x14ac:dyDescent="0.2">
      <c r="D748" s="52"/>
      <c r="E748" s="52"/>
    </row>
    <row r="749" spans="4:5" x14ac:dyDescent="0.2">
      <c r="D749" s="52"/>
      <c r="E749" s="52"/>
    </row>
    <row r="750" spans="4:5" x14ac:dyDescent="0.2">
      <c r="D750" s="52"/>
      <c r="E750" s="52"/>
    </row>
    <row r="751" spans="4:5" x14ac:dyDescent="0.2">
      <c r="D751" s="52"/>
      <c r="E751" s="52"/>
    </row>
    <row r="752" spans="4:5" x14ac:dyDescent="0.2">
      <c r="D752" s="52"/>
      <c r="E752" s="52"/>
    </row>
    <row r="753" spans="4:5" x14ac:dyDescent="0.2">
      <c r="D753" s="52"/>
      <c r="E753" s="52"/>
    </row>
    <row r="754" spans="4:5" x14ac:dyDescent="0.2">
      <c r="D754" s="52"/>
      <c r="E754" s="52"/>
    </row>
    <row r="755" spans="4:5" x14ac:dyDescent="0.2">
      <c r="D755" s="52"/>
      <c r="E755" s="52"/>
    </row>
    <row r="756" spans="4:5" x14ac:dyDescent="0.2">
      <c r="D756" s="52"/>
      <c r="E756" s="52"/>
    </row>
    <row r="757" spans="4:5" x14ac:dyDescent="0.2">
      <c r="D757" s="52"/>
      <c r="E757" s="52"/>
    </row>
    <row r="758" spans="4:5" x14ac:dyDescent="0.2">
      <c r="D758" s="52"/>
      <c r="E758" s="52"/>
    </row>
    <row r="759" spans="4:5" x14ac:dyDescent="0.2">
      <c r="D759" s="52"/>
      <c r="E759" s="52"/>
    </row>
    <row r="760" spans="4:5" x14ac:dyDescent="0.2">
      <c r="D760" s="52"/>
      <c r="E760" s="52"/>
    </row>
    <row r="761" spans="4:5" x14ac:dyDescent="0.2">
      <c r="D761" s="52"/>
      <c r="E761" s="52"/>
    </row>
    <row r="762" spans="4:5" x14ac:dyDescent="0.2">
      <c r="D762" s="52"/>
      <c r="E762" s="52"/>
    </row>
    <row r="763" spans="4:5" x14ac:dyDescent="0.2">
      <c r="D763" s="52"/>
      <c r="E763" s="52"/>
    </row>
    <row r="764" spans="4:5" x14ac:dyDescent="0.2">
      <c r="D764" s="52"/>
      <c r="E764" s="52"/>
    </row>
    <row r="765" spans="4:5" x14ac:dyDescent="0.2">
      <c r="D765" s="52"/>
      <c r="E765" s="52"/>
    </row>
    <row r="766" spans="4:5" x14ac:dyDescent="0.2">
      <c r="D766" s="52"/>
      <c r="E766" s="52"/>
    </row>
    <row r="767" spans="4:5" x14ac:dyDescent="0.2">
      <c r="D767" s="52"/>
      <c r="E767" s="52"/>
    </row>
    <row r="768" spans="4:5" x14ac:dyDescent="0.2">
      <c r="D768" s="52"/>
      <c r="E768" s="52"/>
    </row>
    <row r="769" spans="4:5" x14ac:dyDescent="0.2">
      <c r="D769" s="52"/>
      <c r="E769" s="52"/>
    </row>
    <row r="770" spans="4:5" x14ac:dyDescent="0.2">
      <c r="D770" s="52"/>
      <c r="E770" s="52"/>
    </row>
    <row r="771" spans="4:5" x14ac:dyDescent="0.2">
      <c r="D771" s="52"/>
      <c r="E771" s="52"/>
    </row>
    <row r="772" spans="4:5" x14ac:dyDescent="0.2">
      <c r="D772" s="52"/>
      <c r="E772" s="52"/>
    </row>
    <row r="773" spans="4:5" x14ac:dyDescent="0.2">
      <c r="D773" s="52"/>
      <c r="E773" s="52"/>
    </row>
    <row r="774" spans="4:5" x14ac:dyDescent="0.2">
      <c r="D774" s="52"/>
      <c r="E774" s="52"/>
    </row>
    <row r="775" spans="4:5" x14ac:dyDescent="0.2">
      <c r="D775" s="52"/>
      <c r="E775" s="52"/>
    </row>
    <row r="776" spans="4:5" x14ac:dyDescent="0.2">
      <c r="D776" s="52"/>
      <c r="E776" s="52"/>
    </row>
    <row r="777" spans="4:5" x14ac:dyDescent="0.2">
      <c r="D777" s="52"/>
      <c r="E777" s="52"/>
    </row>
    <row r="778" spans="4:5" x14ac:dyDescent="0.2">
      <c r="D778" s="52"/>
      <c r="E778" s="52"/>
    </row>
    <row r="779" spans="4:5" x14ac:dyDescent="0.2">
      <c r="D779" s="52"/>
      <c r="E779" s="52"/>
    </row>
    <row r="780" spans="4:5" x14ac:dyDescent="0.2">
      <c r="D780" s="52"/>
      <c r="E780" s="52"/>
    </row>
    <row r="781" spans="4:5" x14ac:dyDescent="0.2">
      <c r="D781" s="52"/>
      <c r="E781" s="52"/>
    </row>
    <row r="782" spans="4:5" x14ac:dyDescent="0.2">
      <c r="D782" s="52"/>
      <c r="E782" s="52"/>
    </row>
    <row r="783" spans="4:5" x14ac:dyDescent="0.2">
      <c r="D783" s="52"/>
      <c r="E783" s="52"/>
    </row>
    <row r="784" spans="4:5" x14ac:dyDescent="0.2">
      <c r="D784" s="52"/>
      <c r="E784" s="52"/>
    </row>
    <row r="785" spans="4:5" x14ac:dyDescent="0.2">
      <c r="D785" s="52"/>
      <c r="E785" s="52"/>
    </row>
    <row r="786" spans="4:5" x14ac:dyDescent="0.2">
      <c r="D786" s="52"/>
      <c r="E786" s="52"/>
    </row>
    <row r="787" spans="4:5" x14ac:dyDescent="0.2">
      <c r="D787" s="52"/>
      <c r="E787" s="52"/>
    </row>
    <row r="788" spans="4:5" x14ac:dyDescent="0.2">
      <c r="D788" s="52"/>
      <c r="E788" s="52"/>
    </row>
    <row r="789" spans="4:5" x14ac:dyDescent="0.2">
      <c r="D789" s="52"/>
      <c r="E789" s="52"/>
    </row>
    <row r="790" spans="4:5" x14ac:dyDescent="0.2">
      <c r="D790" s="52"/>
      <c r="E790" s="52"/>
    </row>
    <row r="791" spans="4:5" x14ac:dyDescent="0.2">
      <c r="D791" s="52"/>
      <c r="E791" s="52"/>
    </row>
    <row r="792" spans="4:5" x14ac:dyDescent="0.2">
      <c r="D792" s="52"/>
      <c r="E792" s="52"/>
    </row>
    <row r="793" spans="4:5" x14ac:dyDescent="0.2">
      <c r="D793" s="52"/>
      <c r="E793" s="52"/>
    </row>
    <row r="794" spans="4:5" x14ac:dyDescent="0.2">
      <c r="D794" s="52"/>
      <c r="E794" s="52"/>
    </row>
    <row r="795" spans="4:5" x14ac:dyDescent="0.2">
      <c r="D795" s="52"/>
      <c r="E795" s="52"/>
    </row>
    <row r="796" spans="4:5" x14ac:dyDescent="0.2">
      <c r="D796" s="52"/>
      <c r="E796" s="52"/>
    </row>
    <row r="797" spans="4:5" x14ac:dyDescent="0.2">
      <c r="D797" s="52"/>
      <c r="E797" s="52"/>
    </row>
    <row r="798" spans="4:5" x14ac:dyDescent="0.2">
      <c r="D798" s="52"/>
      <c r="E798" s="52"/>
    </row>
    <row r="799" spans="4:5" x14ac:dyDescent="0.2">
      <c r="D799" s="52"/>
      <c r="E799" s="52"/>
    </row>
    <row r="800" spans="4:5" x14ac:dyDescent="0.2">
      <c r="D800" s="52"/>
      <c r="E800" s="52"/>
    </row>
    <row r="801" spans="4:5" x14ac:dyDescent="0.2">
      <c r="D801" s="52"/>
      <c r="E801" s="52"/>
    </row>
    <row r="802" spans="4:5" x14ac:dyDescent="0.2">
      <c r="D802" s="52"/>
      <c r="E802" s="52"/>
    </row>
    <row r="803" spans="4:5" x14ac:dyDescent="0.2">
      <c r="D803" s="52"/>
      <c r="E803" s="52"/>
    </row>
    <row r="804" spans="4:5" x14ac:dyDescent="0.2">
      <c r="D804" s="52"/>
      <c r="E804" s="52"/>
    </row>
    <row r="805" spans="4:5" x14ac:dyDescent="0.2">
      <c r="D805" s="52"/>
      <c r="E805" s="52"/>
    </row>
    <row r="806" spans="4:5" x14ac:dyDescent="0.2">
      <c r="D806" s="52"/>
      <c r="E806" s="52"/>
    </row>
    <row r="807" spans="4:5" x14ac:dyDescent="0.2">
      <c r="D807" s="52"/>
      <c r="E807" s="52"/>
    </row>
    <row r="808" spans="4:5" x14ac:dyDescent="0.2">
      <c r="D808" s="52"/>
      <c r="E808" s="52"/>
    </row>
    <row r="809" spans="4:5" x14ac:dyDescent="0.2">
      <c r="D809" s="52"/>
      <c r="E809" s="52"/>
    </row>
    <row r="810" spans="4:5" x14ac:dyDescent="0.2">
      <c r="D810" s="52"/>
      <c r="E810" s="52"/>
    </row>
    <row r="811" spans="4:5" x14ac:dyDescent="0.2">
      <c r="D811" s="52"/>
      <c r="E811" s="52"/>
    </row>
    <row r="812" spans="4:5" x14ac:dyDescent="0.2">
      <c r="D812" s="52"/>
      <c r="E812" s="52"/>
    </row>
    <row r="813" spans="4:5" x14ac:dyDescent="0.2">
      <c r="D813" s="52"/>
      <c r="E813" s="52"/>
    </row>
    <row r="814" spans="4:5" x14ac:dyDescent="0.2">
      <c r="D814" s="52"/>
      <c r="E814" s="52"/>
    </row>
    <row r="815" spans="4:5" x14ac:dyDescent="0.2">
      <c r="D815" s="52"/>
      <c r="E815" s="52"/>
    </row>
    <row r="816" spans="4:5" x14ac:dyDescent="0.2">
      <c r="D816" s="52"/>
      <c r="E816" s="52"/>
    </row>
    <row r="817" spans="4:5" x14ac:dyDescent="0.2">
      <c r="D817" s="52"/>
      <c r="E817" s="52"/>
    </row>
    <row r="818" spans="4:5" x14ac:dyDescent="0.2">
      <c r="D818" s="52"/>
      <c r="E818" s="52"/>
    </row>
    <row r="819" spans="4:5" x14ac:dyDescent="0.2">
      <c r="D819" s="52"/>
      <c r="E819" s="52"/>
    </row>
    <row r="820" spans="4:5" x14ac:dyDescent="0.2">
      <c r="D820" s="52"/>
      <c r="E820" s="52"/>
    </row>
    <row r="821" spans="4:5" x14ac:dyDescent="0.2">
      <c r="D821" s="52"/>
      <c r="E821" s="52"/>
    </row>
    <row r="822" spans="4:5" x14ac:dyDescent="0.2">
      <c r="D822" s="52"/>
      <c r="E822" s="52"/>
    </row>
    <row r="823" spans="4:5" x14ac:dyDescent="0.2">
      <c r="D823" s="52"/>
      <c r="E823" s="52"/>
    </row>
    <row r="824" spans="4:5" x14ac:dyDescent="0.2">
      <c r="D824" s="52"/>
      <c r="E824" s="52"/>
    </row>
    <row r="825" spans="4:5" x14ac:dyDescent="0.2">
      <c r="D825" s="52"/>
      <c r="E825" s="52"/>
    </row>
    <row r="826" spans="4:5" x14ac:dyDescent="0.2">
      <c r="D826" s="52"/>
      <c r="E826" s="52"/>
    </row>
    <row r="827" spans="4:5" x14ac:dyDescent="0.2">
      <c r="D827" s="52"/>
      <c r="E827" s="52"/>
    </row>
    <row r="828" spans="4:5" x14ac:dyDescent="0.2">
      <c r="D828" s="52"/>
      <c r="E828" s="52"/>
    </row>
    <row r="829" spans="4:5" x14ac:dyDescent="0.2">
      <c r="D829" s="52"/>
      <c r="E829" s="52"/>
    </row>
    <row r="830" spans="4:5" x14ac:dyDescent="0.2">
      <c r="D830" s="52"/>
      <c r="E830" s="52"/>
    </row>
    <row r="831" spans="4:5" x14ac:dyDescent="0.2">
      <c r="D831" s="52"/>
      <c r="E831" s="52"/>
    </row>
    <row r="832" spans="4:5" x14ac:dyDescent="0.2">
      <c r="D832" s="52"/>
      <c r="E832" s="52"/>
    </row>
    <row r="833" spans="4:5" x14ac:dyDescent="0.2">
      <c r="D833" s="52"/>
      <c r="E833" s="52"/>
    </row>
    <row r="834" spans="4:5" x14ac:dyDescent="0.2">
      <c r="D834" s="52"/>
      <c r="E834" s="52"/>
    </row>
    <row r="835" spans="4:5" x14ac:dyDescent="0.2">
      <c r="D835" s="52"/>
      <c r="E835" s="52"/>
    </row>
    <row r="836" spans="4:5" x14ac:dyDescent="0.2">
      <c r="D836" s="52"/>
      <c r="E836" s="52"/>
    </row>
    <row r="837" spans="4:5" x14ac:dyDescent="0.2">
      <c r="D837" s="52"/>
      <c r="E837" s="52"/>
    </row>
    <row r="838" spans="4:5" x14ac:dyDescent="0.2">
      <c r="D838" s="52"/>
      <c r="E838" s="52"/>
    </row>
    <row r="839" spans="4:5" x14ac:dyDescent="0.2">
      <c r="D839" s="52"/>
      <c r="E839" s="52"/>
    </row>
    <row r="840" spans="4:5" x14ac:dyDescent="0.2">
      <c r="D840" s="52"/>
      <c r="E840" s="52"/>
    </row>
    <row r="841" spans="4:5" x14ac:dyDescent="0.2">
      <c r="D841" s="52"/>
      <c r="E841" s="52"/>
    </row>
    <row r="842" spans="4:5" x14ac:dyDescent="0.2">
      <c r="D842" s="52"/>
      <c r="E842" s="52"/>
    </row>
    <row r="843" spans="4:5" x14ac:dyDescent="0.2">
      <c r="D843" s="52"/>
      <c r="E843" s="52"/>
    </row>
    <row r="844" spans="4:5" x14ac:dyDescent="0.2">
      <c r="D844" s="52"/>
      <c r="E844" s="52"/>
    </row>
    <row r="845" spans="4:5" x14ac:dyDescent="0.2">
      <c r="D845" s="52"/>
      <c r="E845" s="52"/>
    </row>
    <row r="846" spans="4:5" x14ac:dyDescent="0.2">
      <c r="D846" s="52"/>
      <c r="E846" s="52"/>
    </row>
    <row r="847" spans="4:5" x14ac:dyDescent="0.2">
      <c r="D847" s="52"/>
      <c r="E847" s="52"/>
    </row>
    <row r="848" spans="4:5" x14ac:dyDescent="0.2">
      <c r="D848" s="52"/>
      <c r="E848" s="52"/>
    </row>
    <row r="849" spans="4:5" x14ac:dyDescent="0.2">
      <c r="D849" s="52"/>
      <c r="E849" s="52"/>
    </row>
    <row r="850" spans="4:5" x14ac:dyDescent="0.2">
      <c r="D850" s="52"/>
      <c r="E850" s="52"/>
    </row>
    <row r="851" spans="4:5" x14ac:dyDescent="0.2">
      <c r="D851" s="52"/>
      <c r="E851" s="52"/>
    </row>
    <row r="852" spans="4:5" x14ac:dyDescent="0.2">
      <c r="D852" s="52"/>
      <c r="E852" s="52"/>
    </row>
    <row r="853" spans="4:5" x14ac:dyDescent="0.2">
      <c r="D853" s="52"/>
      <c r="E853" s="52"/>
    </row>
    <row r="854" spans="4:5" x14ac:dyDescent="0.2">
      <c r="D854" s="52"/>
      <c r="E854" s="52"/>
    </row>
    <row r="855" spans="4:5" x14ac:dyDescent="0.2">
      <c r="D855" s="52"/>
      <c r="E855" s="52"/>
    </row>
    <row r="856" spans="4:5" x14ac:dyDescent="0.2">
      <c r="D856" s="52"/>
      <c r="E856" s="52"/>
    </row>
    <row r="857" spans="4:5" x14ac:dyDescent="0.2">
      <c r="D857" s="52"/>
      <c r="E857" s="52"/>
    </row>
    <row r="858" spans="4:5" x14ac:dyDescent="0.2">
      <c r="D858" s="52"/>
      <c r="E858" s="52"/>
    </row>
    <row r="859" spans="4:5" x14ac:dyDescent="0.2">
      <c r="D859" s="52"/>
      <c r="E859" s="52"/>
    </row>
    <row r="860" spans="4:5" x14ac:dyDescent="0.2">
      <c r="D860" s="52"/>
      <c r="E860" s="52"/>
    </row>
    <row r="861" spans="4:5" x14ac:dyDescent="0.2">
      <c r="D861" s="52"/>
      <c r="E861" s="52"/>
    </row>
    <row r="862" spans="4:5" x14ac:dyDescent="0.2">
      <c r="D862" s="52"/>
      <c r="E862" s="52"/>
    </row>
    <row r="863" spans="4:5" x14ac:dyDescent="0.2">
      <c r="D863" s="52"/>
      <c r="E863" s="52"/>
    </row>
    <row r="864" spans="4:5" x14ac:dyDescent="0.2">
      <c r="D864" s="52"/>
      <c r="E864" s="52"/>
    </row>
    <row r="865" spans="4:5" x14ac:dyDescent="0.2">
      <c r="D865" s="52"/>
      <c r="E865" s="52"/>
    </row>
    <row r="866" spans="4:5" x14ac:dyDescent="0.2">
      <c r="D866" s="52"/>
      <c r="E866" s="52"/>
    </row>
    <row r="867" spans="4:5" x14ac:dyDescent="0.2">
      <c r="D867" s="52"/>
      <c r="E867" s="52"/>
    </row>
    <row r="868" spans="4:5" x14ac:dyDescent="0.2">
      <c r="D868" s="52"/>
      <c r="E868" s="52"/>
    </row>
    <row r="869" spans="4:5" x14ac:dyDescent="0.2">
      <c r="D869" s="52"/>
      <c r="E869" s="52"/>
    </row>
    <row r="870" spans="4:5" x14ac:dyDescent="0.2">
      <c r="D870" s="52"/>
      <c r="E870" s="52"/>
    </row>
    <row r="871" spans="4:5" x14ac:dyDescent="0.2">
      <c r="D871" s="52"/>
      <c r="E871" s="52"/>
    </row>
    <row r="872" spans="4:5" x14ac:dyDescent="0.2">
      <c r="D872" s="52"/>
      <c r="E872" s="52"/>
    </row>
    <row r="873" spans="4:5" x14ac:dyDescent="0.2">
      <c r="D873" s="52"/>
      <c r="E873" s="52"/>
    </row>
    <row r="874" spans="4:5" x14ac:dyDescent="0.2">
      <c r="D874" s="52"/>
      <c r="E874" s="52"/>
    </row>
    <row r="875" spans="4:5" x14ac:dyDescent="0.2">
      <c r="D875" s="52"/>
      <c r="E875" s="52"/>
    </row>
    <row r="876" spans="4:5" x14ac:dyDescent="0.2">
      <c r="D876" s="52"/>
      <c r="E876" s="52"/>
    </row>
    <row r="877" spans="4:5" x14ac:dyDescent="0.2">
      <c r="D877" s="52"/>
      <c r="E877" s="52"/>
    </row>
    <row r="878" spans="4:5" x14ac:dyDescent="0.2">
      <c r="D878" s="52"/>
      <c r="E878" s="52"/>
    </row>
    <row r="879" spans="4:5" x14ac:dyDescent="0.2">
      <c r="D879" s="52"/>
      <c r="E879" s="52"/>
    </row>
    <row r="880" spans="4:5" x14ac:dyDescent="0.2">
      <c r="D880" s="52"/>
      <c r="E880" s="52"/>
    </row>
    <row r="881" spans="4:5" x14ac:dyDescent="0.2">
      <c r="D881" s="52"/>
      <c r="E881" s="52"/>
    </row>
    <row r="882" spans="4:5" x14ac:dyDescent="0.2">
      <c r="D882" s="52"/>
      <c r="E882" s="52"/>
    </row>
    <row r="883" spans="4:5" x14ac:dyDescent="0.2">
      <c r="D883" s="52"/>
      <c r="E883" s="52"/>
    </row>
    <row r="884" spans="4:5" x14ac:dyDescent="0.2">
      <c r="D884" s="52"/>
      <c r="E884" s="52"/>
    </row>
    <row r="885" spans="4:5" x14ac:dyDescent="0.2">
      <c r="D885" s="52"/>
      <c r="E885" s="52"/>
    </row>
    <row r="886" spans="4:5" x14ac:dyDescent="0.2">
      <c r="D886" s="52"/>
      <c r="E886" s="52"/>
    </row>
    <row r="887" spans="4:5" x14ac:dyDescent="0.2">
      <c r="D887" s="52"/>
      <c r="E887" s="52"/>
    </row>
    <row r="888" spans="4:5" x14ac:dyDescent="0.2">
      <c r="D888" s="52"/>
      <c r="E888" s="52"/>
    </row>
    <row r="889" spans="4:5" x14ac:dyDescent="0.2">
      <c r="D889" s="52"/>
      <c r="E889" s="52"/>
    </row>
    <row r="890" spans="4:5" x14ac:dyDescent="0.2">
      <c r="D890" s="52"/>
      <c r="E890" s="52"/>
    </row>
    <row r="891" spans="4:5" x14ac:dyDescent="0.2">
      <c r="D891" s="52"/>
      <c r="E891" s="52"/>
    </row>
    <row r="892" spans="4:5" x14ac:dyDescent="0.2">
      <c r="D892" s="52"/>
      <c r="E892" s="52"/>
    </row>
    <row r="893" spans="4:5" x14ac:dyDescent="0.2">
      <c r="D893" s="52"/>
      <c r="E893" s="52"/>
    </row>
    <row r="894" spans="4:5" x14ac:dyDescent="0.2">
      <c r="D894" s="52"/>
      <c r="E894" s="52"/>
    </row>
    <row r="895" spans="4:5" x14ac:dyDescent="0.2">
      <c r="D895" s="52"/>
      <c r="E895" s="52"/>
    </row>
    <row r="896" spans="4:5" x14ac:dyDescent="0.2">
      <c r="D896" s="52"/>
      <c r="E896" s="52"/>
    </row>
    <row r="897" spans="4:5" x14ac:dyDescent="0.2">
      <c r="D897" s="52"/>
      <c r="E897" s="52"/>
    </row>
    <row r="898" spans="4:5" x14ac:dyDescent="0.2">
      <c r="D898" s="52"/>
      <c r="E898" s="52"/>
    </row>
    <row r="899" spans="4:5" x14ac:dyDescent="0.2">
      <c r="D899" s="52"/>
      <c r="E899" s="52"/>
    </row>
    <row r="900" spans="4:5" x14ac:dyDescent="0.2">
      <c r="D900" s="52"/>
      <c r="E900" s="52"/>
    </row>
    <row r="901" spans="4:5" x14ac:dyDescent="0.2">
      <c r="D901" s="52"/>
      <c r="E901" s="52"/>
    </row>
    <row r="902" spans="4:5" x14ac:dyDescent="0.2">
      <c r="D902" s="52"/>
      <c r="E902" s="52"/>
    </row>
    <row r="903" spans="4:5" x14ac:dyDescent="0.2">
      <c r="D903" s="52"/>
      <c r="E903" s="52"/>
    </row>
    <row r="904" spans="4:5" x14ac:dyDescent="0.2">
      <c r="D904" s="52"/>
      <c r="E904" s="52"/>
    </row>
    <row r="905" spans="4:5" x14ac:dyDescent="0.2">
      <c r="D905" s="52"/>
      <c r="E905" s="52"/>
    </row>
    <row r="906" spans="4:5" x14ac:dyDescent="0.2">
      <c r="D906" s="52"/>
      <c r="E906" s="52"/>
    </row>
    <row r="907" spans="4:5" x14ac:dyDescent="0.2">
      <c r="D907" s="52"/>
      <c r="E907" s="52"/>
    </row>
    <row r="908" spans="4:5" x14ac:dyDescent="0.2">
      <c r="D908" s="52"/>
      <c r="E908" s="52"/>
    </row>
    <row r="909" spans="4:5" x14ac:dyDescent="0.2">
      <c r="D909" s="52"/>
      <c r="E909" s="52"/>
    </row>
    <row r="910" spans="4:5" x14ac:dyDescent="0.2">
      <c r="D910" s="52"/>
      <c r="E910" s="52"/>
    </row>
    <row r="911" spans="4:5" x14ac:dyDescent="0.2">
      <c r="D911" s="52"/>
      <c r="E911" s="52"/>
    </row>
    <row r="912" spans="4:5" x14ac:dyDescent="0.2">
      <c r="D912" s="52"/>
      <c r="E912" s="52"/>
    </row>
    <row r="913" spans="4:5" x14ac:dyDescent="0.2">
      <c r="D913" s="52"/>
      <c r="E913" s="52"/>
    </row>
    <row r="914" spans="4:5" x14ac:dyDescent="0.2">
      <c r="D914" s="52"/>
      <c r="E914" s="52"/>
    </row>
    <row r="915" spans="4:5" x14ac:dyDescent="0.2">
      <c r="D915" s="52"/>
      <c r="E915" s="52"/>
    </row>
    <row r="916" spans="4:5" x14ac:dyDescent="0.2">
      <c r="D916" s="52"/>
      <c r="E916" s="52"/>
    </row>
    <row r="917" spans="4:5" x14ac:dyDescent="0.2">
      <c r="D917" s="52"/>
      <c r="E917" s="52"/>
    </row>
    <row r="918" spans="4:5" x14ac:dyDescent="0.2">
      <c r="D918" s="52"/>
      <c r="E918" s="52"/>
    </row>
    <row r="919" spans="4:5" x14ac:dyDescent="0.2">
      <c r="D919" s="52"/>
      <c r="E919" s="52"/>
    </row>
    <row r="920" spans="4:5" x14ac:dyDescent="0.2">
      <c r="D920" s="52"/>
      <c r="E920" s="52"/>
    </row>
    <row r="921" spans="4:5" x14ac:dyDescent="0.2">
      <c r="D921" s="52"/>
      <c r="E921" s="52"/>
    </row>
    <row r="922" spans="4:5" x14ac:dyDescent="0.2">
      <c r="D922" s="52"/>
      <c r="E922" s="52"/>
    </row>
    <row r="923" spans="4:5" x14ac:dyDescent="0.2">
      <c r="D923" s="52"/>
      <c r="E923" s="52"/>
    </row>
    <row r="924" spans="4:5" x14ac:dyDescent="0.2">
      <c r="D924" s="52"/>
      <c r="E924" s="52"/>
    </row>
    <row r="925" spans="4:5" x14ac:dyDescent="0.2">
      <c r="D925" s="52"/>
      <c r="E925" s="52"/>
    </row>
    <row r="926" spans="4:5" x14ac:dyDescent="0.2">
      <c r="D926" s="52"/>
      <c r="E926" s="52"/>
    </row>
    <row r="927" spans="4:5" x14ac:dyDescent="0.2">
      <c r="D927" s="52"/>
      <c r="E927" s="52"/>
    </row>
    <row r="928" spans="4:5" x14ac:dyDescent="0.2">
      <c r="D928" s="52"/>
      <c r="E928" s="52"/>
    </row>
    <row r="929" spans="4:5" x14ac:dyDescent="0.2">
      <c r="D929" s="52"/>
      <c r="E929" s="52"/>
    </row>
    <row r="930" spans="4:5" x14ac:dyDescent="0.2">
      <c r="D930" s="52"/>
      <c r="E930" s="52"/>
    </row>
    <row r="931" spans="4:5" x14ac:dyDescent="0.2">
      <c r="D931" s="52"/>
      <c r="E931" s="52"/>
    </row>
    <row r="932" spans="4:5" x14ac:dyDescent="0.2">
      <c r="D932" s="52"/>
      <c r="E932" s="52"/>
    </row>
    <row r="933" spans="4:5" x14ac:dyDescent="0.2">
      <c r="D933" s="52"/>
      <c r="E933" s="52"/>
    </row>
    <row r="934" spans="4:5" x14ac:dyDescent="0.2">
      <c r="D934" s="52"/>
      <c r="E934" s="52"/>
    </row>
    <row r="935" spans="4:5" x14ac:dyDescent="0.2">
      <c r="D935" s="52"/>
      <c r="E935" s="52"/>
    </row>
    <row r="936" spans="4:5" x14ac:dyDescent="0.2">
      <c r="D936" s="52"/>
      <c r="E936" s="52"/>
    </row>
    <row r="937" spans="4:5" x14ac:dyDescent="0.2">
      <c r="D937" s="52"/>
      <c r="E937" s="52"/>
    </row>
    <row r="938" spans="4:5" x14ac:dyDescent="0.2">
      <c r="D938" s="52"/>
      <c r="E938" s="52"/>
    </row>
    <row r="939" spans="4:5" x14ac:dyDescent="0.2">
      <c r="D939" s="52"/>
      <c r="E939" s="52"/>
    </row>
    <row r="940" spans="4:5" x14ac:dyDescent="0.2">
      <c r="D940" s="52"/>
      <c r="E940" s="52"/>
    </row>
    <row r="941" spans="4:5" x14ac:dyDescent="0.2">
      <c r="D941" s="52"/>
      <c r="E941" s="52"/>
    </row>
    <row r="942" spans="4:5" x14ac:dyDescent="0.2">
      <c r="D942" s="52"/>
      <c r="E942" s="52"/>
    </row>
    <row r="943" spans="4:5" x14ac:dyDescent="0.2">
      <c r="D943" s="52"/>
      <c r="E943" s="52"/>
    </row>
    <row r="944" spans="4:5" x14ac:dyDescent="0.2">
      <c r="D944" s="52"/>
      <c r="E944" s="52"/>
    </row>
    <row r="945" spans="4:5" x14ac:dyDescent="0.2">
      <c r="D945" s="52"/>
      <c r="E945" s="52"/>
    </row>
    <row r="946" spans="4:5" x14ac:dyDescent="0.2">
      <c r="D946" s="52"/>
      <c r="E946" s="52"/>
    </row>
    <row r="947" spans="4:5" x14ac:dyDescent="0.2">
      <c r="D947" s="52"/>
      <c r="E947" s="52"/>
    </row>
    <row r="948" spans="4:5" x14ac:dyDescent="0.2">
      <c r="D948" s="52"/>
      <c r="E948" s="52"/>
    </row>
    <row r="949" spans="4:5" x14ac:dyDescent="0.2">
      <c r="D949" s="52"/>
      <c r="E949" s="52"/>
    </row>
    <row r="950" spans="4:5" x14ac:dyDescent="0.2">
      <c r="D950" s="52"/>
      <c r="E950" s="52"/>
    </row>
    <row r="951" spans="4:5" x14ac:dyDescent="0.2">
      <c r="D951" s="52"/>
      <c r="E951" s="52"/>
    </row>
    <row r="952" spans="4:5" x14ac:dyDescent="0.2">
      <c r="D952" s="52"/>
      <c r="E952" s="52"/>
    </row>
    <row r="953" spans="4:5" x14ac:dyDescent="0.2">
      <c r="D953" s="52"/>
      <c r="E953" s="52"/>
    </row>
    <row r="954" spans="4:5" x14ac:dyDescent="0.2">
      <c r="D954" s="52"/>
      <c r="E954" s="52"/>
    </row>
    <row r="955" spans="4:5" x14ac:dyDescent="0.2">
      <c r="D955" s="52"/>
      <c r="E955" s="52"/>
    </row>
    <row r="956" spans="4:5" x14ac:dyDescent="0.2">
      <c r="D956" s="52"/>
      <c r="E956" s="52"/>
    </row>
    <row r="957" spans="4:5" x14ac:dyDescent="0.2">
      <c r="D957" s="52"/>
      <c r="E957" s="52"/>
    </row>
    <row r="958" spans="4:5" x14ac:dyDescent="0.2">
      <c r="D958" s="52"/>
      <c r="E958" s="52"/>
    </row>
    <row r="959" spans="4:5" x14ac:dyDescent="0.2">
      <c r="D959" s="52"/>
      <c r="E959" s="52"/>
    </row>
    <row r="960" spans="4:5" x14ac:dyDescent="0.2">
      <c r="D960" s="52"/>
      <c r="E960" s="52"/>
    </row>
    <row r="961" spans="4:5" x14ac:dyDescent="0.2">
      <c r="D961" s="52"/>
      <c r="E961" s="52"/>
    </row>
    <row r="962" spans="4:5" x14ac:dyDescent="0.2">
      <c r="D962" s="52"/>
      <c r="E962" s="52"/>
    </row>
    <row r="963" spans="4:5" x14ac:dyDescent="0.2">
      <c r="D963" s="52"/>
      <c r="E963" s="52"/>
    </row>
    <row r="964" spans="4:5" x14ac:dyDescent="0.2">
      <c r="D964" s="52"/>
      <c r="E964" s="52"/>
    </row>
    <row r="965" spans="4:5" x14ac:dyDescent="0.2">
      <c r="D965" s="52"/>
      <c r="E965" s="52"/>
    </row>
    <row r="966" spans="4:5" x14ac:dyDescent="0.2">
      <c r="D966" s="52"/>
      <c r="E966" s="52"/>
    </row>
    <row r="967" spans="4:5" x14ac:dyDescent="0.2">
      <c r="D967" s="52"/>
      <c r="E967" s="52"/>
    </row>
    <row r="968" spans="4:5" x14ac:dyDescent="0.2">
      <c r="D968" s="52"/>
      <c r="E968" s="52"/>
    </row>
    <row r="969" spans="4:5" x14ac:dyDescent="0.2">
      <c r="D969" s="52"/>
      <c r="E969" s="52"/>
    </row>
    <row r="970" spans="4:5" x14ac:dyDescent="0.2">
      <c r="D970" s="52"/>
      <c r="E970" s="52"/>
    </row>
    <row r="971" spans="4:5" x14ac:dyDescent="0.2">
      <c r="D971" s="52"/>
      <c r="E971" s="52"/>
    </row>
    <row r="972" spans="4:5" x14ac:dyDescent="0.2">
      <c r="D972" s="52"/>
      <c r="E972" s="52"/>
    </row>
    <row r="973" spans="4:5" x14ac:dyDescent="0.2">
      <c r="D973" s="52"/>
      <c r="E973" s="52"/>
    </row>
    <row r="974" spans="4:5" x14ac:dyDescent="0.2">
      <c r="D974" s="52"/>
      <c r="E974" s="52"/>
    </row>
    <row r="975" spans="4:5" x14ac:dyDescent="0.2">
      <c r="D975" s="52"/>
      <c r="E975" s="52"/>
    </row>
    <row r="976" spans="4:5" x14ac:dyDescent="0.2">
      <c r="D976" s="52"/>
      <c r="E976" s="52"/>
    </row>
    <row r="977" spans="4:5" x14ac:dyDescent="0.2">
      <c r="D977" s="52"/>
      <c r="E977" s="52"/>
    </row>
    <row r="978" spans="4:5" x14ac:dyDescent="0.2">
      <c r="D978" s="52"/>
      <c r="E978" s="52"/>
    </row>
    <row r="979" spans="4:5" x14ac:dyDescent="0.2">
      <c r="D979" s="52"/>
      <c r="E979" s="52"/>
    </row>
    <row r="980" spans="4:5" x14ac:dyDescent="0.2">
      <c r="D980" s="52"/>
      <c r="E980" s="52"/>
    </row>
    <row r="981" spans="4:5" x14ac:dyDescent="0.2">
      <c r="D981" s="52"/>
      <c r="E981" s="52"/>
    </row>
    <row r="982" spans="4:5" x14ac:dyDescent="0.2">
      <c r="D982" s="52"/>
      <c r="E982" s="52"/>
    </row>
    <row r="983" spans="4:5" x14ac:dyDescent="0.2">
      <c r="D983" s="52"/>
      <c r="E983" s="52"/>
    </row>
    <row r="984" spans="4:5" x14ac:dyDescent="0.2">
      <c r="D984" s="52"/>
      <c r="E984" s="52"/>
    </row>
    <row r="985" spans="4:5" x14ac:dyDescent="0.2">
      <c r="D985" s="52"/>
      <c r="E985" s="52"/>
    </row>
    <row r="986" spans="4:5" x14ac:dyDescent="0.2">
      <c r="D986" s="52"/>
      <c r="E986" s="52"/>
    </row>
    <row r="987" spans="4:5" x14ac:dyDescent="0.2">
      <c r="D987" s="52"/>
      <c r="E987" s="52"/>
    </row>
    <row r="988" spans="4:5" x14ac:dyDescent="0.2">
      <c r="D988" s="52"/>
      <c r="E988" s="52"/>
    </row>
    <row r="989" spans="4:5" x14ac:dyDescent="0.2">
      <c r="D989" s="52"/>
      <c r="E989" s="52"/>
    </row>
    <row r="990" spans="4:5" x14ac:dyDescent="0.2">
      <c r="D990" s="52"/>
      <c r="E990" s="52"/>
    </row>
    <row r="991" spans="4:5" x14ac:dyDescent="0.2">
      <c r="D991" s="52"/>
      <c r="E991" s="52"/>
    </row>
    <row r="992" spans="4:5" x14ac:dyDescent="0.2">
      <c r="D992" s="52"/>
      <c r="E992" s="52"/>
    </row>
    <row r="993" spans="4:5" x14ac:dyDescent="0.2">
      <c r="D993" s="52"/>
      <c r="E993" s="52"/>
    </row>
    <row r="994" spans="4:5" x14ac:dyDescent="0.2">
      <c r="D994" s="52"/>
      <c r="E994" s="52"/>
    </row>
    <row r="995" spans="4:5" x14ac:dyDescent="0.2">
      <c r="D995" s="52"/>
      <c r="E995" s="52"/>
    </row>
    <row r="996" spans="4:5" x14ac:dyDescent="0.2">
      <c r="D996" s="52"/>
      <c r="E996" s="52"/>
    </row>
    <row r="997" spans="4:5" x14ac:dyDescent="0.2">
      <c r="D997" s="52"/>
      <c r="E997" s="52"/>
    </row>
    <row r="998" spans="4:5" x14ac:dyDescent="0.2">
      <c r="D998" s="52"/>
      <c r="E998" s="52"/>
    </row>
    <row r="999" spans="4:5" x14ac:dyDescent="0.2">
      <c r="D999" s="52"/>
      <c r="E999" s="52"/>
    </row>
    <row r="1000" spans="4:5" x14ac:dyDescent="0.2">
      <c r="D1000" s="52"/>
      <c r="E1000" s="52"/>
    </row>
    <row r="1001" spans="4:5" x14ac:dyDescent="0.2">
      <c r="D1001" s="52"/>
      <c r="E1001" s="52"/>
    </row>
    <row r="1002" spans="4:5" x14ac:dyDescent="0.2">
      <c r="D1002" s="52"/>
      <c r="E1002" s="52"/>
    </row>
    <row r="1003" spans="4:5" x14ac:dyDescent="0.2">
      <c r="D1003" s="52"/>
      <c r="E1003" s="52"/>
    </row>
    <row r="1004" spans="4:5" x14ac:dyDescent="0.2">
      <c r="D1004" s="52"/>
      <c r="E1004" s="52"/>
    </row>
    <row r="1005" spans="4:5" x14ac:dyDescent="0.2">
      <c r="D1005" s="52"/>
      <c r="E1005" s="52"/>
    </row>
    <row r="1006" spans="4:5" x14ac:dyDescent="0.2">
      <c r="D1006" s="52"/>
      <c r="E1006" s="52"/>
    </row>
    <row r="1007" spans="4:5" x14ac:dyDescent="0.2">
      <c r="D1007" s="52"/>
      <c r="E1007" s="52"/>
    </row>
    <row r="1008" spans="4:5" x14ac:dyDescent="0.2">
      <c r="D1008" s="52"/>
      <c r="E1008" s="52"/>
    </row>
    <row r="1009" spans="4:5" x14ac:dyDescent="0.2">
      <c r="D1009" s="52"/>
      <c r="E1009" s="52"/>
    </row>
    <row r="1010" spans="4:5" x14ac:dyDescent="0.2">
      <c r="D1010" s="52"/>
      <c r="E1010" s="52"/>
    </row>
    <row r="1011" spans="4:5" x14ac:dyDescent="0.2">
      <c r="D1011" s="52"/>
      <c r="E1011" s="52"/>
    </row>
    <row r="1012" spans="4:5" x14ac:dyDescent="0.2">
      <c r="D1012" s="52"/>
      <c r="E1012" s="52"/>
    </row>
    <row r="1013" spans="4:5" x14ac:dyDescent="0.2">
      <c r="D1013" s="52"/>
      <c r="E1013" s="52"/>
    </row>
    <row r="1014" spans="4:5" x14ac:dyDescent="0.2">
      <c r="D1014" s="52"/>
      <c r="E1014" s="52"/>
    </row>
    <row r="1015" spans="4:5" x14ac:dyDescent="0.2">
      <c r="D1015" s="52"/>
      <c r="E1015" s="52"/>
    </row>
    <row r="1016" spans="4:5" x14ac:dyDescent="0.2">
      <c r="D1016" s="52"/>
      <c r="E1016" s="52"/>
    </row>
    <row r="1017" spans="4:5" x14ac:dyDescent="0.2">
      <c r="D1017" s="52"/>
      <c r="E1017" s="52"/>
    </row>
    <row r="1018" spans="4:5" x14ac:dyDescent="0.2">
      <c r="D1018" s="52"/>
      <c r="E1018" s="52"/>
    </row>
    <row r="1019" spans="4:5" x14ac:dyDescent="0.2">
      <c r="D1019" s="52"/>
      <c r="E1019" s="52"/>
    </row>
    <row r="1020" spans="4:5" x14ac:dyDescent="0.2">
      <c r="D1020" s="52"/>
      <c r="E1020" s="52"/>
    </row>
    <row r="1021" spans="4:5" x14ac:dyDescent="0.2">
      <c r="D1021" s="52"/>
      <c r="E1021" s="52"/>
    </row>
    <row r="1022" spans="4:5" x14ac:dyDescent="0.2">
      <c r="D1022" s="52"/>
      <c r="E1022" s="52"/>
    </row>
    <row r="1023" spans="4:5" x14ac:dyDescent="0.2">
      <c r="D1023" s="52"/>
      <c r="E1023" s="52"/>
    </row>
    <row r="1024" spans="4:5" x14ac:dyDescent="0.2">
      <c r="D1024" s="52"/>
      <c r="E1024" s="52"/>
    </row>
    <row r="1025" spans="4:5" x14ac:dyDescent="0.2">
      <c r="D1025" s="52"/>
      <c r="E1025" s="52"/>
    </row>
    <row r="1026" spans="4:5" x14ac:dyDescent="0.2">
      <c r="D1026" s="52"/>
      <c r="E1026" s="52"/>
    </row>
    <row r="1027" spans="4:5" x14ac:dyDescent="0.2">
      <c r="D1027" s="52"/>
      <c r="E1027" s="52"/>
    </row>
    <row r="1028" spans="4:5" x14ac:dyDescent="0.2">
      <c r="D1028" s="52"/>
      <c r="E1028" s="52"/>
    </row>
    <row r="1029" spans="4:5" x14ac:dyDescent="0.2">
      <c r="D1029" s="52"/>
      <c r="E1029" s="52"/>
    </row>
    <row r="1030" spans="4:5" x14ac:dyDescent="0.2">
      <c r="D1030" s="52"/>
      <c r="E1030" s="52"/>
    </row>
    <row r="1031" spans="4:5" x14ac:dyDescent="0.2">
      <c r="D1031" s="52"/>
      <c r="E1031" s="52"/>
    </row>
    <row r="1032" spans="4:5" x14ac:dyDescent="0.2">
      <c r="D1032" s="52"/>
      <c r="E1032" s="52"/>
    </row>
    <row r="1033" spans="4:5" x14ac:dyDescent="0.2">
      <c r="D1033" s="52"/>
      <c r="E1033" s="52"/>
    </row>
    <row r="1034" spans="4:5" x14ac:dyDescent="0.2">
      <c r="D1034" s="52"/>
      <c r="E1034" s="52"/>
    </row>
    <row r="1035" spans="4:5" x14ac:dyDescent="0.2">
      <c r="D1035" s="52"/>
      <c r="E1035" s="52"/>
    </row>
    <row r="1036" spans="4:5" x14ac:dyDescent="0.2">
      <c r="D1036" s="52"/>
      <c r="E1036" s="52"/>
    </row>
    <row r="1037" spans="4:5" x14ac:dyDescent="0.2">
      <c r="D1037" s="52"/>
      <c r="E1037" s="52"/>
    </row>
    <row r="1038" spans="4:5" x14ac:dyDescent="0.2">
      <c r="D1038" s="52"/>
      <c r="E1038" s="52"/>
    </row>
    <row r="1039" spans="4:5" x14ac:dyDescent="0.2">
      <c r="D1039" s="52"/>
      <c r="E1039" s="52"/>
    </row>
    <row r="1040" spans="4:5" x14ac:dyDescent="0.2">
      <c r="D1040" s="52"/>
      <c r="E1040" s="52"/>
    </row>
    <row r="1041" spans="4:5" x14ac:dyDescent="0.2">
      <c r="D1041" s="52"/>
      <c r="E1041" s="52"/>
    </row>
    <row r="1042" spans="4:5" x14ac:dyDescent="0.2">
      <c r="D1042" s="52"/>
      <c r="E1042" s="52"/>
    </row>
    <row r="1043" spans="4:5" x14ac:dyDescent="0.2">
      <c r="D1043" s="52"/>
      <c r="E1043" s="52"/>
    </row>
    <row r="1044" spans="4:5" x14ac:dyDescent="0.2">
      <c r="D1044" s="52"/>
      <c r="E1044" s="52"/>
    </row>
    <row r="1045" spans="4:5" x14ac:dyDescent="0.2">
      <c r="D1045" s="52"/>
      <c r="E1045" s="52"/>
    </row>
    <row r="1046" spans="4:5" x14ac:dyDescent="0.2">
      <c r="D1046" s="52"/>
      <c r="E1046" s="52"/>
    </row>
    <row r="1047" spans="4:5" x14ac:dyDescent="0.2">
      <c r="D1047" s="52"/>
      <c r="E1047" s="52"/>
    </row>
    <row r="1048" spans="4:5" x14ac:dyDescent="0.2">
      <c r="D1048" s="52"/>
      <c r="E1048" s="52"/>
    </row>
    <row r="1049" spans="4:5" x14ac:dyDescent="0.2">
      <c r="D1049" s="52"/>
      <c r="E1049" s="52"/>
    </row>
    <row r="1050" spans="4:5" x14ac:dyDescent="0.2">
      <c r="D1050" s="52"/>
      <c r="E1050" s="52"/>
    </row>
    <row r="1051" spans="4:5" x14ac:dyDescent="0.2">
      <c r="D1051" s="52"/>
      <c r="E1051" s="52"/>
    </row>
    <row r="1052" spans="4:5" x14ac:dyDescent="0.2">
      <c r="D1052" s="52"/>
      <c r="E1052" s="52"/>
    </row>
    <row r="1053" spans="4:5" x14ac:dyDescent="0.2">
      <c r="D1053" s="52"/>
      <c r="E1053" s="52"/>
    </row>
    <row r="1054" spans="4:5" x14ac:dyDescent="0.2">
      <c r="D1054" s="52"/>
      <c r="E1054" s="52"/>
    </row>
    <row r="1055" spans="4:5" x14ac:dyDescent="0.2">
      <c r="D1055" s="52"/>
      <c r="E1055" s="52"/>
    </row>
    <row r="1056" spans="4:5" x14ac:dyDescent="0.2">
      <c r="D1056" s="52"/>
      <c r="E1056" s="52"/>
    </row>
    <row r="1057" spans="4:5" x14ac:dyDescent="0.2">
      <c r="D1057" s="52"/>
      <c r="E1057" s="52"/>
    </row>
    <row r="1058" spans="4:5" x14ac:dyDescent="0.2">
      <c r="D1058" s="52"/>
      <c r="E1058" s="52"/>
    </row>
    <row r="1059" spans="4:5" x14ac:dyDescent="0.2">
      <c r="D1059" s="52"/>
      <c r="E1059" s="52"/>
    </row>
    <row r="1060" spans="4:5" x14ac:dyDescent="0.2">
      <c r="D1060" s="52"/>
      <c r="E1060" s="52"/>
    </row>
    <row r="1061" spans="4:5" x14ac:dyDescent="0.2">
      <c r="D1061" s="52"/>
      <c r="E1061" s="52"/>
    </row>
    <row r="1062" spans="4:5" x14ac:dyDescent="0.2">
      <c r="D1062" s="52"/>
      <c r="E1062" s="52"/>
    </row>
    <row r="1063" spans="4:5" x14ac:dyDescent="0.2">
      <c r="D1063" s="52"/>
      <c r="E1063" s="52"/>
    </row>
    <row r="1064" spans="4:5" x14ac:dyDescent="0.2">
      <c r="D1064" s="52"/>
      <c r="E1064" s="52"/>
    </row>
    <row r="1065" spans="4:5" x14ac:dyDescent="0.2">
      <c r="D1065" s="52"/>
      <c r="E1065" s="52"/>
    </row>
    <row r="1066" spans="4:5" x14ac:dyDescent="0.2">
      <c r="D1066" s="52"/>
      <c r="E1066" s="52"/>
    </row>
    <row r="1067" spans="4:5" x14ac:dyDescent="0.2">
      <c r="D1067" s="52"/>
      <c r="E1067" s="52"/>
    </row>
    <row r="1068" spans="4:5" x14ac:dyDescent="0.2">
      <c r="D1068" s="52"/>
      <c r="E1068" s="52"/>
    </row>
    <row r="1069" spans="4:5" x14ac:dyDescent="0.2">
      <c r="D1069" s="52"/>
      <c r="E1069" s="52"/>
    </row>
    <row r="1070" spans="4:5" x14ac:dyDescent="0.2">
      <c r="D1070" s="52"/>
      <c r="E1070" s="52"/>
    </row>
    <row r="1071" spans="4:5" x14ac:dyDescent="0.2">
      <c r="D1071" s="52"/>
      <c r="E1071" s="52"/>
    </row>
    <row r="1072" spans="4:5" x14ac:dyDescent="0.2">
      <c r="D1072" s="52"/>
      <c r="E1072" s="52"/>
    </row>
    <row r="1073" spans="4:5" x14ac:dyDescent="0.2">
      <c r="D1073" s="52"/>
      <c r="E1073" s="52"/>
    </row>
    <row r="1074" spans="4:5" x14ac:dyDescent="0.2">
      <c r="D1074" s="52"/>
      <c r="E1074" s="52"/>
    </row>
    <row r="1075" spans="4:5" x14ac:dyDescent="0.2">
      <c r="D1075" s="52"/>
      <c r="E1075" s="52"/>
    </row>
    <row r="1076" spans="4:5" x14ac:dyDescent="0.2">
      <c r="D1076" s="52"/>
      <c r="E1076" s="52"/>
    </row>
    <row r="1077" spans="4:5" x14ac:dyDescent="0.2">
      <c r="D1077" s="52"/>
      <c r="E1077" s="52"/>
    </row>
    <row r="1078" spans="4:5" x14ac:dyDescent="0.2">
      <c r="D1078" s="52"/>
      <c r="E1078" s="52"/>
    </row>
    <row r="1079" spans="4:5" x14ac:dyDescent="0.2">
      <c r="D1079" s="52"/>
      <c r="E1079" s="52"/>
    </row>
    <row r="1080" spans="4:5" x14ac:dyDescent="0.2">
      <c r="D1080" s="52"/>
      <c r="E1080" s="52"/>
    </row>
    <row r="1081" spans="4:5" x14ac:dyDescent="0.2">
      <c r="D1081" s="52"/>
      <c r="E1081" s="52"/>
    </row>
    <row r="1082" spans="4:5" x14ac:dyDescent="0.2">
      <c r="D1082" s="52"/>
      <c r="E1082" s="52"/>
    </row>
    <row r="1083" spans="4:5" x14ac:dyDescent="0.2">
      <c r="D1083" s="52"/>
      <c r="E1083" s="52"/>
    </row>
    <row r="1084" spans="4:5" x14ac:dyDescent="0.2">
      <c r="D1084" s="52"/>
      <c r="E1084" s="52"/>
    </row>
    <row r="1085" spans="4:5" x14ac:dyDescent="0.2">
      <c r="D1085" s="52"/>
      <c r="E1085" s="52"/>
    </row>
    <row r="1086" spans="4:5" x14ac:dyDescent="0.2">
      <c r="D1086" s="52"/>
      <c r="E1086" s="52"/>
    </row>
    <row r="1087" spans="4:5" x14ac:dyDescent="0.2">
      <c r="D1087" s="52"/>
      <c r="E1087" s="52"/>
    </row>
    <row r="1088" spans="4:5" x14ac:dyDescent="0.2">
      <c r="D1088" s="52"/>
      <c r="E1088" s="52"/>
    </row>
    <row r="1089" spans="4:5" x14ac:dyDescent="0.2">
      <c r="D1089" s="52"/>
      <c r="E1089" s="52"/>
    </row>
    <row r="1090" spans="4:5" x14ac:dyDescent="0.2">
      <c r="D1090" s="52"/>
      <c r="E1090" s="52"/>
    </row>
    <row r="1091" spans="4:5" x14ac:dyDescent="0.2">
      <c r="D1091" s="52"/>
      <c r="E1091" s="52"/>
    </row>
    <row r="1092" spans="4:5" x14ac:dyDescent="0.2">
      <c r="D1092" s="52"/>
      <c r="E1092" s="52"/>
    </row>
    <row r="1093" spans="4:5" x14ac:dyDescent="0.2">
      <c r="D1093" s="52"/>
      <c r="E1093" s="52"/>
    </row>
    <row r="1094" spans="4:5" x14ac:dyDescent="0.2">
      <c r="D1094" s="52"/>
      <c r="E1094" s="52"/>
    </row>
    <row r="1095" spans="4:5" x14ac:dyDescent="0.2">
      <c r="D1095" s="52"/>
      <c r="E1095" s="52"/>
    </row>
    <row r="1096" spans="4:5" x14ac:dyDescent="0.2">
      <c r="D1096" s="52"/>
      <c r="E1096" s="52"/>
    </row>
    <row r="1097" spans="4:5" x14ac:dyDescent="0.2">
      <c r="D1097" s="52"/>
      <c r="E1097" s="52"/>
    </row>
    <row r="1098" spans="4:5" x14ac:dyDescent="0.2">
      <c r="D1098" s="52"/>
      <c r="E1098" s="52"/>
    </row>
    <row r="1099" spans="4:5" x14ac:dyDescent="0.2">
      <c r="D1099" s="52"/>
      <c r="E1099" s="52"/>
    </row>
    <row r="1100" spans="4:5" x14ac:dyDescent="0.2">
      <c r="D1100" s="52"/>
      <c r="E1100" s="52"/>
    </row>
    <row r="1101" spans="4:5" x14ac:dyDescent="0.2">
      <c r="D1101" s="52"/>
      <c r="E1101" s="52"/>
    </row>
    <row r="1102" spans="4:5" x14ac:dyDescent="0.2">
      <c r="D1102" s="52"/>
      <c r="E1102" s="52"/>
    </row>
    <row r="1103" spans="4:5" x14ac:dyDescent="0.2">
      <c r="D1103" s="52"/>
      <c r="E1103" s="52"/>
    </row>
    <row r="1104" spans="4:5" x14ac:dyDescent="0.2">
      <c r="D1104" s="52"/>
      <c r="E1104" s="52"/>
    </row>
    <row r="1105" spans="4:5" x14ac:dyDescent="0.2">
      <c r="D1105" s="52"/>
      <c r="E1105" s="52"/>
    </row>
    <row r="1106" spans="4:5" x14ac:dyDescent="0.2">
      <c r="D1106" s="52"/>
      <c r="E1106" s="52"/>
    </row>
    <row r="1107" spans="4:5" x14ac:dyDescent="0.2">
      <c r="D1107" s="52"/>
      <c r="E1107" s="52"/>
    </row>
    <row r="1108" spans="4:5" x14ac:dyDescent="0.2">
      <c r="D1108" s="52"/>
      <c r="E1108" s="52"/>
    </row>
    <row r="1109" spans="4:5" x14ac:dyDescent="0.2">
      <c r="D1109" s="52"/>
      <c r="E1109" s="52"/>
    </row>
    <row r="1110" spans="4:5" x14ac:dyDescent="0.2">
      <c r="D1110" s="52"/>
      <c r="E1110" s="52"/>
    </row>
    <row r="1111" spans="4:5" x14ac:dyDescent="0.2">
      <c r="D1111" s="52"/>
      <c r="E1111" s="52"/>
    </row>
    <row r="1112" spans="4:5" x14ac:dyDescent="0.2">
      <c r="D1112" s="52"/>
      <c r="E1112" s="52"/>
    </row>
    <row r="1113" spans="4:5" x14ac:dyDescent="0.2">
      <c r="D1113" s="52"/>
      <c r="E1113" s="52"/>
    </row>
    <row r="1114" spans="4:5" x14ac:dyDescent="0.2">
      <c r="D1114" s="52"/>
      <c r="E1114" s="52"/>
    </row>
    <row r="1115" spans="4:5" x14ac:dyDescent="0.2">
      <c r="D1115" s="52"/>
      <c r="E1115" s="52"/>
    </row>
    <row r="1116" spans="4:5" x14ac:dyDescent="0.2">
      <c r="D1116" s="52"/>
      <c r="E1116" s="52"/>
    </row>
    <row r="1117" spans="4:5" x14ac:dyDescent="0.2">
      <c r="D1117" s="52"/>
      <c r="E1117" s="52"/>
    </row>
    <row r="1118" spans="4:5" x14ac:dyDescent="0.2">
      <c r="D1118" s="52"/>
      <c r="E1118" s="52"/>
    </row>
    <row r="1119" spans="4:5" x14ac:dyDescent="0.2">
      <c r="D1119" s="52"/>
      <c r="E1119" s="52"/>
    </row>
    <row r="1120" spans="4:5" x14ac:dyDescent="0.2">
      <c r="D1120" s="52"/>
      <c r="E1120" s="52"/>
    </row>
    <row r="1121" spans="4:5" x14ac:dyDescent="0.2">
      <c r="D1121" s="52"/>
      <c r="E1121" s="52"/>
    </row>
    <row r="1122" spans="4:5" x14ac:dyDescent="0.2">
      <c r="D1122" s="52"/>
      <c r="E1122" s="52"/>
    </row>
    <row r="1123" spans="4:5" x14ac:dyDescent="0.2">
      <c r="D1123" s="52"/>
      <c r="E1123" s="52"/>
    </row>
    <row r="1124" spans="4:5" x14ac:dyDescent="0.2">
      <c r="D1124" s="52"/>
      <c r="E1124" s="52"/>
    </row>
    <row r="1125" spans="4:5" x14ac:dyDescent="0.2">
      <c r="D1125" s="52"/>
      <c r="E1125" s="52"/>
    </row>
    <row r="1126" spans="4:5" x14ac:dyDescent="0.2">
      <c r="D1126" s="52"/>
      <c r="E1126" s="52"/>
    </row>
    <row r="1127" spans="4:5" x14ac:dyDescent="0.2">
      <c r="D1127" s="52"/>
      <c r="E1127" s="52"/>
    </row>
    <row r="1128" spans="4:5" x14ac:dyDescent="0.2">
      <c r="D1128" s="52"/>
      <c r="E1128" s="52"/>
    </row>
    <row r="1129" spans="4:5" x14ac:dyDescent="0.2">
      <c r="D1129" s="52"/>
      <c r="E1129" s="52"/>
    </row>
    <row r="1130" spans="4:5" x14ac:dyDescent="0.2">
      <c r="D1130" s="52"/>
      <c r="E1130" s="52"/>
    </row>
    <row r="1131" spans="4:5" x14ac:dyDescent="0.2">
      <c r="D1131" s="52"/>
      <c r="E1131" s="52"/>
    </row>
    <row r="1132" spans="4:5" x14ac:dyDescent="0.2">
      <c r="D1132" s="52"/>
      <c r="E1132" s="52"/>
    </row>
    <row r="1133" spans="4:5" x14ac:dyDescent="0.2">
      <c r="D1133" s="52"/>
      <c r="E1133" s="52"/>
    </row>
    <row r="1134" spans="4:5" x14ac:dyDescent="0.2">
      <c r="D1134" s="52"/>
      <c r="E1134" s="52"/>
    </row>
    <row r="1135" spans="4:5" x14ac:dyDescent="0.2">
      <c r="D1135" s="52"/>
      <c r="E1135" s="52"/>
    </row>
    <row r="1136" spans="4:5" x14ac:dyDescent="0.2">
      <c r="D1136" s="52"/>
      <c r="E1136" s="52"/>
    </row>
    <row r="1137" spans="4:5" x14ac:dyDescent="0.2">
      <c r="D1137" s="52"/>
      <c r="E1137" s="52"/>
    </row>
    <row r="1138" spans="4:5" x14ac:dyDescent="0.2">
      <c r="D1138" s="52"/>
      <c r="E1138" s="52"/>
    </row>
    <row r="1139" spans="4:5" x14ac:dyDescent="0.2">
      <c r="D1139" s="52"/>
      <c r="E1139" s="52"/>
    </row>
    <row r="1140" spans="4:5" x14ac:dyDescent="0.2">
      <c r="D1140" s="52"/>
      <c r="E1140" s="52"/>
    </row>
    <row r="1141" spans="4:5" x14ac:dyDescent="0.2">
      <c r="D1141" s="52"/>
      <c r="E1141" s="52"/>
    </row>
    <row r="1142" spans="4:5" x14ac:dyDescent="0.2">
      <c r="D1142" s="52"/>
      <c r="E1142" s="52"/>
    </row>
    <row r="1143" spans="4:5" x14ac:dyDescent="0.2">
      <c r="D1143" s="52"/>
      <c r="E1143" s="52"/>
    </row>
    <row r="1144" spans="4:5" x14ac:dyDescent="0.2">
      <c r="D1144" s="52"/>
      <c r="E1144" s="52"/>
    </row>
    <row r="1145" spans="4:5" x14ac:dyDescent="0.2">
      <c r="D1145" s="52"/>
      <c r="E1145" s="52"/>
    </row>
    <row r="1146" spans="4:5" x14ac:dyDescent="0.2">
      <c r="D1146" s="52"/>
      <c r="E1146" s="52"/>
    </row>
    <row r="1147" spans="4:5" x14ac:dyDescent="0.2">
      <c r="D1147" s="52"/>
      <c r="E1147" s="52"/>
    </row>
    <row r="1148" spans="4:5" x14ac:dyDescent="0.2">
      <c r="D1148" s="52"/>
      <c r="E1148" s="52"/>
    </row>
    <row r="1149" spans="4:5" x14ac:dyDescent="0.2">
      <c r="D1149" s="52"/>
      <c r="E1149" s="52"/>
    </row>
    <row r="1150" spans="4:5" x14ac:dyDescent="0.2">
      <c r="D1150" s="52"/>
      <c r="E1150" s="52"/>
    </row>
    <row r="1151" spans="4:5" x14ac:dyDescent="0.2">
      <c r="D1151" s="52"/>
      <c r="E1151" s="52"/>
    </row>
    <row r="1152" spans="4:5" x14ac:dyDescent="0.2">
      <c r="D1152" s="52"/>
      <c r="E1152" s="52"/>
    </row>
    <row r="1153" spans="4:5" x14ac:dyDescent="0.2">
      <c r="D1153" s="52"/>
      <c r="E1153" s="52"/>
    </row>
    <row r="1154" spans="4:5" x14ac:dyDescent="0.2">
      <c r="D1154" s="52"/>
      <c r="E1154" s="52"/>
    </row>
    <row r="1155" spans="4:5" x14ac:dyDescent="0.2">
      <c r="D1155" s="52"/>
      <c r="E1155" s="52"/>
    </row>
    <row r="1156" spans="4:5" x14ac:dyDescent="0.2">
      <c r="D1156" s="52"/>
      <c r="E1156" s="52"/>
    </row>
    <row r="1157" spans="4:5" x14ac:dyDescent="0.2">
      <c r="D1157" s="52"/>
      <c r="E1157" s="52"/>
    </row>
    <row r="1158" spans="4:5" x14ac:dyDescent="0.2">
      <c r="D1158" s="52"/>
      <c r="E1158" s="52"/>
    </row>
    <row r="1159" spans="4:5" x14ac:dyDescent="0.2">
      <c r="D1159" s="52"/>
      <c r="E1159" s="52"/>
    </row>
    <row r="1160" spans="4:5" x14ac:dyDescent="0.2">
      <c r="D1160" s="52"/>
      <c r="E1160" s="52"/>
    </row>
    <row r="1161" spans="4:5" x14ac:dyDescent="0.2">
      <c r="D1161" s="52"/>
      <c r="E1161" s="52"/>
    </row>
    <row r="1162" spans="4:5" x14ac:dyDescent="0.2">
      <c r="D1162" s="52"/>
      <c r="E1162" s="52"/>
    </row>
    <row r="1163" spans="4:5" x14ac:dyDescent="0.2">
      <c r="D1163" s="52"/>
      <c r="E1163" s="52"/>
    </row>
    <row r="1164" spans="4:5" x14ac:dyDescent="0.2">
      <c r="D1164" s="52"/>
      <c r="E1164" s="52"/>
    </row>
    <row r="1165" spans="4:5" x14ac:dyDescent="0.2">
      <c r="D1165" s="52"/>
      <c r="E1165" s="52"/>
    </row>
    <row r="1166" spans="4:5" x14ac:dyDescent="0.2">
      <c r="D1166" s="52"/>
      <c r="E1166" s="52"/>
    </row>
    <row r="1167" spans="4:5" x14ac:dyDescent="0.2">
      <c r="D1167" s="52"/>
      <c r="E1167" s="52"/>
    </row>
    <row r="1168" spans="4:5" x14ac:dyDescent="0.2">
      <c r="D1168" s="52"/>
      <c r="E1168" s="52"/>
    </row>
    <row r="1169" spans="4:5" x14ac:dyDescent="0.2">
      <c r="D1169" s="52"/>
      <c r="E1169" s="52"/>
    </row>
    <row r="1170" spans="4:5" x14ac:dyDescent="0.2">
      <c r="D1170" s="52"/>
      <c r="E1170" s="52"/>
    </row>
    <row r="1171" spans="4:5" x14ac:dyDescent="0.2">
      <c r="D1171" s="52"/>
      <c r="E1171" s="52"/>
    </row>
    <row r="1172" spans="4:5" x14ac:dyDescent="0.2">
      <c r="D1172" s="52"/>
      <c r="E1172" s="52"/>
    </row>
    <row r="1173" spans="4:5" x14ac:dyDescent="0.2">
      <c r="D1173" s="52"/>
      <c r="E1173" s="52"/>
    </row>
    <row r="1174" spans="4:5" x14ac:dyDescent="0.2">
      <c r="D1174" s="52"/>
      <c r="E1174" s="52"/>
    </row>
    <row r="1175" spans="4:5" x14ac:dyDescent="0.2">
      <c r="D1175" s="52"/>
      <c r="E1175" s="52"/>
    </row>
    <row r="1176" spans="4:5" x14ac:dyDescent="0.2">
      <c r="D1176" s="52"/>
      <c r="E1176" s="52"/>
    </row>
    <row r="1177" spans="4:5" x14ac:dyDescent="0.2">
      <c r="D1177" s="52"/>
      <c r="E1177" s="52"/>
    </row>
    <row r="1178" spans="4:5" x14ac:dyDescent="0.2">
      <c r="D1178" s="52"/>
      <c r="E1178" s="52"/>
    </row>
    <row r="1179" spans="4:5" x14ac:dyDescent="0.2">
      <c r="D1179" s="52"/>
      <c r="E1179" s="52"/>
    </row>
    <row r="1180" spans="4:5" x14ac:dyDescent="0.2">
      <c r="D1180" s="52"/>
      <c r="E1180" s="52"/>
    </row>
    <row r="1181" spans="4:5" x14ac:dyDescent="0.2">
      <c r="D1181" s="52"/>
      <c r="E1181" s="52"/>
    </row>
    <row r="1182" spans="4:5" x14ac:dyDescent="0.2">
      <c r="D1182" s="52"/>
      <c r="E1182" s="52"/>
    </row>
    <row r="1183" spans="4:5" x14ac:dyDescent="0.2">
      <c r="D1183" s="52"/>
      <c r="E1183" s="52"/>
    </row>
    <row r="1184" spans="4:5" x14ac:dyDescent="0.2">
      <c r="D1184" s="52"/>
      <c r="E1184" s="52"/>
    </row>
    <row r="1185" spans="4:5" x14ac:dyDescent="0.2">
      <c r="D1185" s="52"/>
      <c r="E1185" s="52"/>
    </row>
    <row r="1186" spans="4:5" x14ac:dyDescent="0.2">
      <c r="D1186" s="52"/>
      <c r="E1186" s="52"/>
    </row>
    <row r="1187" spans="4:5" x14ac:dyDescent="0.2">
      <c r="D1187" s="52"/>
      <c r="E1187" s="52"/>
    </row>
    <row r="1188" spans="4:5" x14ac:dyDescent="0.2">
      <c r="D1188" s="52"/>
      <c r="E1188" s="52"/>
    </row>
    <row r="1189" spans="4:5" x14ac:dyDescent="0.2">
      <c r="D1189" s="52"/>
      <c r="E1189" s="52"/>
    </row>
    <row r="1190" spans="4:5" x14ac:dyDescent="0.2">
      <c r="D1190" s="52"/>
      <c r="E1190" s="52"/>
    </row>
    <row r="1191" spans="4:5" x14ac:dyDescent="0.2">
      <c r="D1191" s="52"/>
      <c r="E1191" s="52"/>
    </row>
    <row r="1192" spans="4:5" x14ac:dyDescent="0.2">
      <c r="D1192" s="52"/>
      <c r="E1192" s="52"/>
    </row>
    <row r="1193" spans="4:5" x14ac:dyDescent="0.2">
      <c r="D1193" s="52"/>
      <c r="E1193" s="52"/>
    </row>
    <row r="1194" spans="4:5" x14ac:dyDescent="0.2">
      <c r="D1194" s="52"/>
      <c r="E1194" s="52"/>
    </row>
    <row r="1195" spans="4:5" x14ac:dyDescent="0.2">
      <c r="D1195" s="52"/>
      <c r="E1195" s="52"/>
    </row>
    <row r="1196" spans="4:5" x14ac:dyDescent="0.2">
      <c r="D1196" s="52"/>
      <c r="E1196" s="52"/>
    </row>
    <row r="1197" spans="4:5" x14ac:dyDescent="0.2">
      <c r="D1197" s="52"/>
      <c r="E1197" s="52"/>
    </row>
    <row r="1198" spans="4:5" x14ac:dyDescent="0.2">
      <c r="D1198" s="52"/>
      <c r="E1198" s="52"/>
    </row>
    <row r="1199" spans="4:5" x14ac:dyDescent="0.2">
      <c r="D1199" s="52"/>
      <c r="E1199" s="52"/>
    </row>
    <row r="1200" spans="4:5" x14ac:dyDescent="0.2">
      <c r="D1200" s="52"/>
      <c r="E1200" s="52"/>
    </row>
    <row r="1201" spans="4:5" x14ac:dyDescent="0.2">
      <c r="D1201" s="52"/>
      <c r="E1201" s="52"/>
    </row>
    <row r="1202" spans="4:5" x14ac:dyDescent="0.2">
      <c r="D1202" s="52"/>
      <c r="E1202" s="52"/>
    </row>
    <row r="1203" spans="4:5" x14ac:dyDescent="0.2">
      <c r="D1203" s="52"/>
      <c r="E1203" s="52"/>
    </row>
    <row r="1204" spans="4:5" x14ac:dyDescent="0.2">
      <c r="D1204" s="52"/>
      <c r="E1204" s="52"/>
    </row>
    <row r="1205" spans="4:5" x14ac:dyDescent="0.2">
      <c r="D1205" s="52"/>
      <c r="E1205" s="52"/>
    </row>
    <row r="1206" spans="4:5" x14ac:dyDescent="0.2">
      <c r="D1206" s="52"/>
      <c r="E1206" s="52"/>
    </row>
    <row r="1207" spans="4:5" x14ac:dyDescent="0.2">
      <c r="D1207" s="52"/>
      <c r="E1207" s="52"/>
    </row>
    <row r="1208" spans="4:5" x14ac:dyDescent="0.2">
      <c r="D1208" s="52"/>
      <c r="E1208" s="52"/>
    </row>
    <row r="1209" spans="4:5" x14ac:dyDescent="0.2">
      <c r="D1209" s="52"/>
      <c r="E1209" s="52"/>
    </row>
    <row r="1210" spans="4:5" x14ac:dyDescent="0.2">
      <c r="D1210" s="52"/>
      <c r="E1210" s="52"/>
    </row>
    <row r="1211" spans="4:5" x14ac:dyDescent="0.2">
      <c r="D1211" s="52"/>
      <c r="E1211" s="52"/>
    </row>
    <row r="1212" spans="4:5" x14ac:dyDescent="0.2">
      <c r="D1212" s="52"/>
      <c r="E1212" s="52"/>
    </row>
    <row r="1213" spans="4:5" x14ac:dyDescent="0.2">
      <c r="D1213" s="52"/>
      <c r="E1213" s="52"/>
    </row>
    <row r="1214" spans="4:5" x14ac:dyDescent="0.2">
      <c r="D1214" s="52"/>
      <c r="E1214" s="52"/>
    </row>
    <row r="1215" spans="4:5" x14ac:dyDescent="0.2">
      <c r="D1215" s="52"/>
      <c r="E1215" s="52"/>
    </row>
    <row r="1216" spans="4:5" x14ac:dyDescent="0.2">
      <c r="D1216" s="52"/>
      <c r="E1216" s="52"/>
    </row>
    <row r="1217" spans="4:5" x14ac:dyDescent="0.2">
      <c r="D1217" s="52"/>
      <c r="E1217" s="52"/>
    </row>
    <row r="1218" spans="4:5" x14ac:dyDescent="0.2">
      <c r="D1218" s="52"/>
      <c r="E1218" s="52"/>
    </row>
    <row r="1219" spans="4:5" x14ac:dyDescent="0.2">
      <c r="D1219" s="52"/>
      <c r="E1219" s="52"/>
    </row>
    <row r="1220" spans="4:5" x14ac:dyDescent="0.2">
      <c r="D1220" s="52"/>
      <c r="E1220" s="52"/>
    </row>
    <row r="1221" spans="4:5" x14ac:dyDescent="0.2">
      <c r="D1221" s="52"/>
      <c r="E1221" s="52"/>
    </row>
    <row r="1222" spans="4:5" x14ac:dyDescent="0.2">
      <c r="D1222" s="52"/>
      <c r="E1222" s="52"/>
    </row>
    <row r="1223" spans="4:5" x14ac:dyDescent="0.2">
      <c r="D1223" s="52"/>
      <c r="E1223" s="52"/>
    </row>
    <row r="1224" spans="4:5" x14ac:dyDescent="0.2">
      <c r="D1224" s="52"/>
      <c r="E1224" s="52"/>
    </row>
    <row r="1225" spans="4:5" x14ac:dyDescent="0.2">
      <c r="D1225" s="52"/>
      <c r="E1225" s="52"/>
    </row>
    <row r="1226" spans="4:5" x14ac:dyDescent="0.2">
      <c r="D1226" s="52"/>
      <c r="E1226" s="52"/>
    </row>
    <row r="1227" spans="4:5" x14ac:dyDescent="0.2">
      <c r="D1227" s="52"/>
      <c r="E1227" s="52"/>
    </row>
    <row r="1228" spans="4:5" x14ac:dyDescent="0.2">
      <c r="D1228" s="52"/>
      <c r="E1228" s="52"/>
    </row>
    <row r="1229" spans="4:5" x14ac:dyDescent="0.2">
      <c r="D1229" s="52"/>
      <c r="E1229" s="52"/>
    </row>
    <row r="1230" spans="4:5" x14ac:dyDescent="0.2">
      <c r="D1230" s="52"/>
      <c r="E1230" s="52"/>
    </row>
    <row r="1231" spans="4:5" x14ac:dyDescent="0.2">
      <c r="D1231" s="52"/>
      <c r="E1231" s="52"/>
    </row>
    <row r="1232" spans="4:5" x14ac:dyDescent="0.2">
      <c r="D1232" s="52"/>
      <c r="E1232" s="52"/>
    </row>
    <row r="1233" spans="4:5" x14ac:dyDescent="0.2">
      <c r="D1233" s="52"/>
      <c r="E1233" s="52"/>
    </row>
    <row r="1234" spans="4:5" x14ac:dyDescent="0.2">
      <c r="D1234" s="52"/>
      <c r="E1234" s="52"/>
    </row>
    <row r="1235" spans="4:5" x14ac:dyDescent="0.2">
      <c r="D1235" s="52"/>
      <c r="E1235" s="52"/>
    </row>
    <row r="1236" spans="4:5" x14ac:dyDescent="0.2">
      <c r="D1236" s="52"/>
      <c r="E1236" s="52"/>
    </row>
    <row r="1237" spans="4:5" x14ac:dyDescent="0.2">
      <c r="D1237" s="52"/>
      <c r="E1237" s="52"/>
    </row>
    <row r="1238" spans="4:5" x14ac:dyDescent="0.2">
      <c r="D1238" s="52"/>
      <c r="E1238" s="52"/>
    </row>
    <row r="1239" spans="4:5" x14ac:dyDescent="0.2">
      <c r="D1239" s="52"/>
      <c r="E1239" s="52"/>
    </row>
    <row r="1240" spans="4:5" x14ac:dyDescent="0.2">
      <c r="D1240" s="52"/>
      <c r="E1240" s="52"/>
    </row>
    <row r="1241" spans="4:5" x14ac:dyDescent="0.2">
      <c r="D1241" s="52"/>
      <c r="E1241" s="52"/>
    </row>
    <row r="1242" spans="4:5" x14ac:dyDescent="0.2">
      <c r="D1242" s="52"/>
      <c r="E1242" s="52"/>
    </row>
    <row r="1243" spans="4:5" x14ac:dyDescent="0.2">
      <c r="D1243" s="52"/>
      <c r="E1243" s="52"/>
    </row>
    <row r="1244" spans="4:5" x14ac:dyDescent="0.2">
      <c r="D1244" s="52"/>
      <c r="E1244" s="52"/>
    </row>
    <row r="1245" spans="4:5" x14ac:dyDescent="0.2">
      <c r="D1245" s="52"/>
      <c r="E1245" s="52"/>
    </row>
    <row r="1246" spans="4:5" x14ac:dyDescent="0.2">
      <c r="D1246" s="52"/>
      <c r="E1246" s="52"/>
    </row>
    <row r="1247" spans="4:5" x14ac:dyDescent="0.2">
      <c r="D1247" s="52"/>
      <c r="E1247" s="52"/>
    </row>
    <row r="1248" spans="4:5" x14ac:dyDescent="0.2">
      <c r="D1248" s="52"/>
      <c r="E1248" s="52"/>
    </row>
    <row r="1249" spans="4:5" x14ac:dyDescent="0.2">
      <c r="D1249" s="52"/>
      <c r="E1249" s="52"/>
    </row>
    <row r="1250" spans="4:5" x14ac:dyDescent="0.2">
      <c r="D1250" s="52"/>
      <c r="E1250" s="52"/>
    </row>
    <row r="1251" spans="4:5" x14ac:dyDescent="0.2">
      <c r="D1251" s="52"/>
      <c r="E1251" s="52"/>
    </row>
    <row r="1252" spans="4:5" x14ac:dyDescent="0.2">
      <c r="D1252" s="52"/>
      <c r="E1252" s="52"/>
    </row>
    <row r="1253" spans="4:5" x14ac:dyDescent="0.2">
      <c r="D1253" s="52"/>
      <c r="E1253" s="52"/>
    </row>
    <row r="1254" spans="4:5" x14ac:dyDescent="0.2">
      <c r="D1254" s="52"/>
      <c r="E1254" s="52"/>
    </row>
    <row r="1255" spans="4:5" x14ac:dyDescent="0.2">
      <c r="D1255" s="52"/>
      <c r="E1255" s="52"/>
    </row>
    <row r="1256" spans="4:5" x14ac:dyDescent="0.2">
      <c r="D1256" s="52"/>
      <c r="E1256" s="52"/>
    </row>
    <row r="1257" spans="4:5" x14ac:dyDescent="0.2">
      <c r="D1257" s="52"/>
      <c r="E1257" s="52"/>
    </row>
    <row r="1258" spans="4:5" x14ac:dyDescent="0.2">
      <c r="D1258" s="52"/>
      <c r="E1258" s="52"/>
    </row>
    <row r="1259" spans="4:5" x14ac:dyDescent="0.2">
      <c r="D1259" s="52"/>
      <c r="E1259" s="52"/>
    </row>
    <row r="1260" spans="4:5" x14ac:dyDescent="0.2">
      <c r="D1260" s="52"/>
      <c r="E1260" s="52"/>
    </row>
    <row r="1261" spans="4:5" x14ac:dyDescent="0.2">
      <c r="D1261" s="52"/>
      <c r="E1261" s="52"/>
    </row>
    <row r="1262" spans="4:5" x14ac:dyDescent="0.2">
      <c r="D1262" s="52"/>
      <c r="E1262" s="52"/>
    </row>
    <row r="1263" spans="4:5" x14ac:dyDescent="0.2">
      <c r="D1263" s="52"/>
      <c r="E1263" s="52"/>
    </row>
    <row r="1264" spans="4:5" x14ac:dyDescent="0.2">
      <c r="D1264" s="52"/>
      <c r="E1264" s="52"/>
    </row>
    <row r="1265" spans="4:5" x14ac:dyDescent="0.2">
      <c r="D1265" s="52"/>
      <c r="E1265" s="52"/>
    </row>
    <row r="1266" spans="4:5" x14ac:dyDescent="0.2">
      <c r="D1266" s="52"/>
      <c r="E1266" s="52"/>
    </row>
    <row r="1267" spans="4:5" x14ac:dyDescent="0.2">
      <c r="D1267" s="52"/>
      <c r="E1267" s="52"/>
    </row>
    <row r="1268" spans="4:5" x14ac:dyDescent="0.2">
      <c r="D1268" s="52"/>
      <c r="E1268" s="52"/>
    </row>
    <row r="1269" spans="4:5" x14ac:dyDescent="0.2">
      <c r="D1269" s="52"/>
      <c r="E1269" s="52"/>
    </row>
    <row r="1270" spans="4:5" x14ac:dyDescent="0.2">
      <c r="D1270" s="52"/>
      <c r="E1270" s="52"/>
    </row>
    <row r="1271" spans="4:5" x14ac:dyDescent="0.2">
      <c r="D1271" s="52"/>
      <c r="E1271" s="52"/>
    </row>
    <row r="1272" spans="4:5" x14ac:dyDescent="0.2">
      <c r="D1272" s="52"/>
      <c r="E1272" s="52"/>
    </row>
    <row r="1273" spans="4:5" x14ac:dyDescent="0.2">
      <c r="D1273" s="52"/>
      <c r="E1273" s="52"/>
    </row>
    <row r="1274" spans="4:5" x14ac:dyDescent="0.2">
      <c r="D1274" s="52"/>
      <c r="E1274" s="52"/>
    </row>
    <row r="1275" spans="4:5" x14ac:dyDescent="0.2">
      <c r="D1275" s="52"/>
      <c r="E1275" s="52"/>
    </row>
    <row r="1276" spans="4:5" x14ac:dyDescent="0.2">
      <c r="D1276" s="52"/>
      <c r="E1276" s="52"/>
    </row>
    <row r="1277" spans="4:5" x14ac:dyDescent="0.2">
      <c r="D1277" s="52"/>
      <c r="E1277" s="52"/>
    </row>
    <row r="1278" spans="4:5" x14ac:dyDescent="0.2">
      <c r="D1278" s="52"/>
      <c r="E1278" s="52"/>
    </row>
    <row r="1279" spans="4:5" x14ac:dyDescent="0.2">
      <c r="D1279" s="52"/>
      <c r="E1279" s="52"/>
    </row>
    <row r="1280" spans="4:5" x14ac:dyDescent="0.2">
      <c r="D1280" s="52"/>
      <c r="E1280" s="52"/>
    </row>
    <row r="1281" spans="4:5" x14ac:dyDescent="0.2">
      <c r="D1281" s="52"/>
      <c r="E1281" s="52"/>
    </row>
    <row r="1282" spans="4:5" x14ac:dyDescent="0.2">
      <c r="D1282" s="52"/>
      <c r="E1282" s="52"/>
    </row>
    <row r="1283" spans="4:5" x14ac:dyDescent="0.2">
      <c r="D1283" s="52"/>
      <c r="E1283" s="52"/>
    </row>
    <row r="1284" spans="4:5" x14ac:dyDescent="0.2">
      <c r="D1284" s="52"/>
      <c r="E1284" s="52"/>
    </row>
    <row r="1285" spans="4:5" x14ac:dyDescent="0.2">
      <c r="D1285" s="52"/>
      <c r="E1285" s="52"/>
    </row>
    <row r="1286" spans="4:5" x14ac:dyDescent="0.2">
      <c r="D1286" s="52"/>
      <c r="E1286" s="52"/>
    </row>
    <row r="1287" spans="4:5" x14ac:dyDescent="0.2">
      <c r="D1287" s="52"/>
      <c r="E1287" s="52"/>
    </row>
    <row r="1288" spans="4:5" x14ac:dyDescent="0.2">
      <c r="D1288" s="52"/>
      <c r="E1288" s="52"/>
    </row>
    <row r="1289" spans="4:5" x14ac:dyDescent="0.2">
      <c r="D1289" s="52"/>
      <c r="E1289" s="52"/>
    </row>
    <row r="1290" spans="4:5" x14ac:dyDescent="0.2">
      <c r="D1290" s="52"/>
      <c r="E1290" s="52"/>
    </row>
    <row r="1291" spans="4:5" x14ac:dyDescent="0.2">
      <c r="D1291" s="52"/>
      <c r="E1291" s="52"/>
    </row>
    <row r="1292" spans="4:5" x14ac:dyDescent="0.2">
      <c r="D1292" s="52"/>
      <c r="E1292" s="52"/>
    </row>
    <row r="1293" spans="4:5" x14ac:dyDescent="0.2">
      <c r="D1293" s="52"/>
      <c r="E1293" s="52"/>
    </row>
    <row r="1294" spans="4:5" x14ac:dyDescent="0.2">
      <c r="D1294" s="52"/>
      <c r="E1294" s="52"/>
    </row>
    <row r="1295" spans="4:5" x14ac:dyDescent="0.2">
      <c r="D1295" s="52"/>
      <c r="E1295" s="52"/>
    </row>
    <row r="1296" spans="4:5" x14ac:dyDescent="0.2">
      <c r="D1296" s="52"/>
      <c r="E1296" s="52"/>
    </row>
    <row r="1297" spans="4:5" x14ac:dyDescent="0.2">
      <c r="D1297" s="52"/>
      <c r="E1297" s="52"/>
    </row>
    <row r="1298" spans="4:5" x14ac:dyDescent="0.2">
      <c r="D1298" s="52"/>
      <c r="E1298" s="52"/>
    </row>
    <row r="1299" spans="4:5" x14ac:dyDescent="0.2">
      <c r="D1299" s="52"/>
      <c r="E1299" s="52"/>
    </row>
    <row r="1300" spans="4:5" x14ac:dyDescent="0.2">
      <c r="D1300" s="52"/>
      <c r="E1300" s="52"/>
    </row>
    <row r="1301" spans="4:5" x14ac:dyDescent="0.2">
      <c r="D1301" s="52"/>
      <c r="E1301" s="52"/>
    </row>
    <row r="1302" spans="4:5" x14ac:dyDescent="0.2">
      <c r="D1302" s="52"/>
      <c r="E1302" s="52"/>
    </row>
    <row r="1303" spans="4:5" x14ac:dyDescent="0.2">
      <c r="D1303" s="52"/>
      <c r="E1303" s="52"/>
    </row>
    <row r="1304" spans="4:5" x14ac:dyDescent="0.2">
      <c r="D1304" s="52"/>
      <c r="E1304" s="52"/>
    </row>
    <row r="1305" spans="4:5" x14ac:dyDescent="0.2">
      <c r="D1305" s="52"/>
      <c r="E1305" s="52"/>
    </row>
    <row r="1306" spans="4:5" x14ac:dyDescent="0.2">
      <c r="D1306" s="52"/>
      <c r="E1306" s="52"/>
    </row>
    <row r="1307" spans="4:5" x14ac:dyDescent="0.2">
      <c r="D1307" s="52"/>
      <c r="E1307" s="52"/>
    </row>
    <row r="1308" spans="4:5" x14ac:dyDescent="0.2">
      <c r="D1308" s="52"/>
      <c r="E1308" s="52"/>
    </row>
    <row r="1309" spans="4:5" x14ac:dyDescent="0.2">
      <c r="D1309" s="52"/>
      <c r="E1309" s="52"/>
    </row>
    <row r="1310" spans="4:5" x14ac:dyDescent="0.2">
      <c r="D1310" s="52"/>
      <c r="E1310" s="52"/>
    </row>
    <row r="1311" spans="4:5" x14ac:dyDescent="0.2">
      <c r="D1311" s="52"/>
      <c r="E1311" s="52"/>
    </row>
    <row r="1312" spans="4:5" x14ac:dyDescent="0.2">
      <c r="D1312" s="52"/>
      <c r="E1312" s="52"/>
    </row>
    <row r="1313" spans="4:5" x14ac:dyDescent="0.2">
      <c r="D1313" s="52"/>
      <c r="E1313" s="52"/>
    </row>
    <row r="1314" spans="4:5" x14ac:dyDescent="0.2">
      <c r="D1314" s="52"/>
      <c r="E1314" s="52"/>
    </row>
    <row r="1315" spans="4:5" x14ac:dyDescent="0.2">
      <c r="D1315" s="52"/>
      <c r="E1315" s="52"/>
    </row>
    <row r="1316" spans="4:5" x14ac:dyDescent="0.2">
      <c r="D1316" s="52"/>
      <c r="E1316" s="52"/>
    </row>
    <row r="1317" spans="4:5" x14ac:dyDescent="0.2">
      <c r="D1317" s="52"/>
      <c r="E1317" s="52"/>
    </row>
    <row r="1318" spans="4:5" x14ac:dyDescent="0.2">
      <c r="D1318" s="52"/>
      <c r="E1318" s="52"/>
    </row>
    <row r="1319" spans="4:5" x14ac:dyDescent="0.2">
      <c r="D1319" s="52"/>
      <c r="E1319" s="52"/>
    </row>
    <row r="1320" spans="4:5" x14ac:dyDescent="0.2">
      <c r="D1320" s="52"/>
      <c r="E1320" s="52"/>
    </row>
    <row r="1321" spans="4:5" x14ac:dyDescent="0.2">
      <c r="D1321" s="52"/>
      <c r="E1321" s="52"/>
    </row>
    <row r="1322" spans="4:5" x14ac:dyDescent="0.2">
      <c r="D1322" s="52"/>
      <c r="E1322" s="52"/>
    </row>
    <row r="1323" spans="4:5" x14ac:dyDescent="0.2">
      <c r="D1323" s="52"/>
      <c r="E1323" s="52"/>
    </row>
    <row r="1324" spans="4:5" x14ac:dyDescent="0.2">
      <c r="D1324" s="52"/>
      <c r="E1324" s="52"/>
    </row>
    <row r="1325" spans="4:5" x14ac:dyDescent="0.2">
      <c r="D1325" s="52"/>
      <c r="E1325" s="52"/>
    </row>
    <row r="1326" spans="4:5" x14ac:dyDescent="0.2">
      <c r="D1326" s="52"/>
      <c r="E1326" s="52"/>
    </row>
    <row r="1327" spans="4:5" x14ac:dyDescent="0.2">
      <c r="D1327" s="52"/>
      <c r="E1327" s="52"/>
    </row>
    <row r="1328" spans="4:5" x14ac:dyDescent="0.2">
      <c r="D1328" s="52"/>
      <c r="E1328" s="52"/>
    </row>
    <row r="1329" spans="4:5" x14ac:dyDescent="0.2">
      <c r="D1329" s="52"/>
      <c r="E1329" s="52"/>
    </row>
    <row r="1330" spans="4:5" x14ac:dyDescent="0.2">
      <c r="D1330" s="52"/>
      <c r="E1330" s="52"/>
    </row>
    <row r="1331" spans="4:5" x14ac:dyDescent="0.2">
      <c r="D1331" s="52"/>
      <c r="E1331" s="52"/>
    </row>
    <row r="1332" spans="4:5" x14ac:dyDescent="0.2">
      <c r="D1332" s="52"/>
      <c r="E1332" s="52"/>
    </row>
    <row r="1333" spans="4:5" x14ac:dyDescent="0.2">
      <c r="D1333" s="52"/>
      <c r="E1333" s="52"/>
    </row>
    <row r="1334" spans="4:5" x14ac:dyDescent="0.2">
      <c r="D1334" s="52"/>
      <c r="E1334" s="52"/>
    </row>
    <row r="1335" spans="4:5" x14ac:dyDescent="0.2">
      <c r="D1335" s="52"/>
      <c r="E1335" s="52"/>
    </row>
    <row r="1336" spans="4:5" x14ac:dyDescent="0.2">
      <c r="D1336" s="52"/>
      <c r="E1336" s="52"/>
    </row>
    <row r="1337" spans="4:5" x14ac:dyDescent="0.2">
      <c r="D1337" s="52"/>
      <c r="E1337" s="52"/>
    </row>
    <row r="1338" spans="4:5" x14ac:dyDescent="0.2">
      <c r="D1338" s="52"/>
      <c r="E1338" s="52"/>
    </row>
    <row r="1339" spans="4:5" x14ac:dyDescent="0.2">
      <c r="D1339" s="52"/>
      <c r="E1339" s="52"/>
    </row>
    <row r="1340" spans="4:5" x14ac:dyDescent="0.2">
      <c r="D1340" s="52"/>
      <c r="E1340" s="52"/>
    </row>
    <row r="1341" spans="4:5" x14ac:dyDescent="0.2">
      <c r="D1341" s="52"/>
      <c r="E1341" s="52"/>
    </row>
    <row r="1342" spans="4:5" x14ac:dyDescent="0.2">
      <c r="D1342" s="52"/>
      <c r="E1342" s="52"/>
    </row>
    <row r="1343" spans="4:5" x14ac:dyDescent="0.2">
      <c r="D1343" s="52"/>
      <c r="E1343" s="52"/>
    </row>
    <row r="1344" spans="4:5" x14ac:dyDescent="0.2">
      <c r="D1344" s="52"/>
      <c r="E1344" s="52"/>
    </row>
    <row r="1345" spans="4:5" x14ac:dyDescent="0.2">
      <c r="D1345" s="52"/>
      <c r="E1345" s="52"/>
    </row>
    <row r="1346" spans="4:5" x14ac:dyDescent="0.2">
      <c r="D1346" s="52"/>
      <c r="E1346" s="52"/>
    </row>
    <row r="1347" spans="4:5" x14ac:dyDescent="0.2">
      <c r="D1347" s="52"/>
      <c r="E1347" s="52"/>
    </row>
    <row r="1348" spans="4:5" x14ac:dyDescent="0.2">
      <c r="D1348" s="52"/>
      <c r="E1348" s="52"/>
    </row>
    <row r="1349" spans="4:5" x14ac:dyDescent="0.2">
      <c r="D1349" s="52"/>
      <c r="E1349" s="52"/>
    </row>
    <row r="1350" spans="4:5" x14ac:dyDescent="0.2">
      <c r="D1350" s="52"/>
      <c r="E1350" s="52"/>
    </row>
    <row r="1351" spans="4:5" x14ac:dyDescent="0.2">
      <c r="D1351" s="52"/>
      <c r="E1351" s="52"/>
    </row>
    <row r="1352" spans="4:5" x14ac:dyDescent="0.2">
      <c r="D1352" s="52"/>
      <c r="E1352" s="52"/>
    </row>
    <row r="1353" spans="4:5" x14ac:dyDescent="0.2">
      <c r="D1353" s="52"/>
      <c r="E1353" s="52"/>
    </row>
    <row r="1354" spans="4:5" x14ac:dyDescent="0.2">
      <c r="D1354" s="52"/>
      <c r="E1354" s="52"/>
    </row>
    <row r="1355" spans="4:5" x14ac:dyDescent="0.2">
      <c r="D1355" s="52"/>
      <c r="E1355" s="52"/>
    </row>
    <row r="1356" spans="4:5" x14ac:dyDescent="0.2">
      <c r="D1356" s="52"/>
      <c r="E1356" s="52"/>
    </row>
    <row r="1357" spans="4:5" x14ac:dyDescent="0.2">
      <c r="D1357" s="52"/>
      <c r="E1357" s="52"/>
    </row>
    <row r="1358" spans="4:5" x14ac:dyDescent="0.2">
      <c r="D1358" s="52"/>
      <c r="E1358" s="52"/>
    </row>
    <row r="1359" spans="4:5" x14ac:dyDescent="0.2">
      <c r="D1359" s="52"/>
      <c r="E1359" s="52"/>
    </row>
    <row r="1360" spans="4:5" x14ac:dyDescent="0.2">
      <c r="D1360" s="52"/>
      <c r="E1360" s="52"/>
    </row>
    <row r="1361" spans="4:5" x14ac:dyDescent="0.2">
      <c r="D1361" s="52"/>
      <c r="E1361" s="52"/>
    </row>
    <row r="1362" spans="4:5" x14ac:dyDescent="0.2">
      <c r="D1362" s="52"/>
      <c r="E1362" s="52"/>
    </row>
    <row r="1363" spans="4:5" x14ac:dyDescent="0.2">
      <c r="D1363" s="52"/>
      <c r="E1363" s="52"/>
    </row>
    <row r="1364" spans="4:5" x14ac:dyDescent="0.2">
      <c r="D1364" s="52"/>
      <c r="E1364" s="52"/>
    </row>
    <row r="1365" spans="4:5" x14ac:dyDescent="0.2">
      <c r="D1365" s="52"/>
      <c r="E1365" s="52"/>
    </row>
    <row r="1366" spans="4:5" x14ac:dyDescent="0.2">
      <c r="D1366" s="52"/>
      <c r="E1366" s="52"/>
    </row>
    <row r="1367" spans="4:5" x14ac:dyDescent="0.2">
      <c r="D1367" s="52"/>
      <c r="E1367" s="52"/>
    </row>
    <row r="1368" spans="4:5" x14ac:dyDescent="0.2">
      <c r="D1368" s="52"/>
      <c r="E1368" s="52"/>
    </row>
    <row r="1369" spans="4:5" x14ac:dyDescent="0.2">
      <c r="D1369" s="52"/>
      <c r="E1369" s="52"/>
    </row>
    <row r="1370" spans="4:5" x14ac:dyDescent="0.2">
      <c r="D1370" s="52"/>
      <c r="E1370" s="52"/>
    </row>
    <row r="1371" spans="4:5" x14ac:dyDescent="0.2">
      <c r="D1371" s="52"/>
      <c r="E1371" s="52"/>
    </row>
    <row r="1372" spans="4:5" x14ac:dyDescent="0.2">
      <c r="D1372" s="52"/>
      <c r="E1372" s="52"/>
    </row>
    <row r="1373" spans="4:5" x14ac:dyDescent="0.2">
      <c r="D1373" s="52"/>
      <c r="E1373" s="52"/>
    </row>
    <row r="1374" spans="4:5" x14ac:dyDescent="0.2">
      <c r="D1374" s="52"/>
      <c r="E1374" s="52"/>
    </row>
    <row r="1375" spans="4:5" x14ac:dyDescent="0.2">
      <c r="D1375" s="52"/>
      <c r="E1375" s="52"/>
    </row>
    <row r="1376" spans="4:5" x14ac:dyDescent="0.2">
      <c r="D1376" s="52"/>
      <c r="E1376" s="52"/>
    </row>
    <row r="1377" spans="4:5" x14ac:dyDescent="0.2">
      <c r="D1377" s="52"/>
      <c r="E1377" s="52"/>
    </row>
    <row r="1378" spans="4:5" x14ac:dyDescent="0.2">
      <c r="D1378" s="52"/>
      <c r="E1378" s="52"/>
    </row>
    <row r="1379" spans="4:5" x14ac:dyDescent="0.2">
      <c r="D1379" s="52"/>
      <c r="E1379" s="52"/>
    </row>
    <row r="1380" spans="4:5" x14ac:dyDescent="0.2">
      <c r="D1380" s="52"/>
      <c r="E1380" s="52"/>
    </row>
    <row r="1381" spans="4:5" x14ac:dyDescent="0.2">
      <c r="D1381" s="52"/>
      <c r="E1381" s="52"/>
    </row>
    <row r="1382" spans="4:5" x14ac:dyDescent="0.2">
      <c r="D1382" s="52"/>
      <c r="E1382" s="52"/>
    </row>
    <row r="1383" spans="4:5" x14ac:dyDescent="0.2">
      <c r="D1383" s="52"/>
      <c r="E1383" s="52"/>
    </row>
    <row r="1384" spans="4:5" x14ac:dyDescent="0.2">
      <c r="D1384" s="52"/>
      <c r="E1384" s="52"/>
    </row>
    <row r="1385" spans="4:5" x14ac:dyDescent="0.2">
      <c r="D1385" s="52"/>
      <c r="E1385" s="52"/>
    </row>
    <row r="1386" spans="4:5" x14ac:dyDescent="0.2">
      <c r="D1386" s="52"/>
      <c r="E1386" s="52"/>
    </row>
    <row r="1387" spans="4:5" x14ac:dyDescent="0.2">
      <c r="D1387" s="52"/>
      <c r="E1387" s="52"/>
    </row>
    <row r="1388" spans="4:5" x14ac:dyDescent="0.2">
      <c r="D1388" s="52"/>
      <c r="E1388" s="52"/>
    </row>
    <row r="1389" spans="4:5" x14ac:dyDescent="0.2">
      <c r="D1389" s="52"/>
      <c r="E1389" s="52"/>
    </row>
    <row r="1390" spans="4:5" x14ac:dyDescent="0.2">
      <c r="D1390" s="52"/>
      <c r="E1390" s="52"/>
    </row>
    <row r="1391" spans="4:5" x14ac:dyDescent="0.2">
      <c r="D1391" s="52"/>
      <c r="E1391" s="52"/>
    </row>
    <row r="1392" spans="4:5" x14ac:dyDescent="0.2">
      <c r="D1392" s="52"/>
      <c r="E1392" s="52"/>
    </row>
    <row r="1393" spans="4:5" x14ac:dyDescent="0.2">
      <c r="D1393" s="52"/>
      <c r="E1393" s="52"/>
    </row>
    <row r="1394" spans="4:5" x14ac:dyDescent="0.2">
      <c r="D1394" s="52"/>
      <c r="E1394" s="52"/>
    </row>
    <row r="1395" spans="4:5" x14ac:dyDescent="0.2">
      <c r="D1395" s="52"/>
      <c r="E1395" s="52"/>
    </row>
    <row r="1396" spans="4:5" x14ac:dyDescent="0.2">
      <c r="D1396" s="52"/>
      <c r="E1396" s="52"/>
    </row>
    <row r="1397" spans="4:5" x14ac:dyDescent="0.2">
      <c r="D1397" s="52"/>
      <c r="E1397" s="52"/>
    </row>
    <row r="1398" spans="4:5" x14ac:dyDescent="0.2">
      <c r="D1398" s="52"/>
      <c r="E1398" s="52"/>
    </row>
    <row r="1399" spans="4:5" x14ac:dyDescent="0.2">
      <c r="D1399" s="52"/>
      <c r="E1399" s="52"/>
    </row>
    <row r="1400" spans="4:5" x14ac:dyDescent="0.2">
      <c r="D1400" s="52"/>
      <c r="E1400" s="52"/>
    </row>
    <row r="1401" spans="4:5" x14ac:dyDescent="0.2">
      <c r="D1401" s="52"/>
      <c r="E1401" s="52"/>
    </row>
    <row r="1402" spans="4:5" x14ac:dyDescent="0.2">
      <c r="D1402" s="52"/>
      <c r="E1402" s="52"/>
    </row>
    <row r="1403" spans="4:5" x14ac:dyDescent="0.2">
      <c r="D1403" s="52"/>
      <c r="E1403" s="52"/>
    </row>
    <row r="1404" spans="4:5" x14ac:dyDescent="0.2">
      <c r="D1404" s="52"/>
      <c r="E1404" s="52"/>
    </row>
    <row r="1405" spans="4:5" x14ac:dyDescent="0.2">
      <c r="D1405" s="52"/>
      <c r="E1405" s="52"/>
    </row>
    <row r="1406" spans="4:5" x14ac:dyDescent="0.2">
      <c r="D1406" s="52"/>
      <c r="E1406" s="52"/>
    </row>
    <row r="1407" spans="4:5" x14ac:dyDescent="0.2">
      <c r="D1407" s="52"/>
      <c r="E1407" s="52"/>
    </row>
    <row r="1408" spans="4:5" x14ac:dyDescent="0.2">
      <c r="D1408" s="52"/>
      <c r="E1408" s="52"/>
    </row>
    <row r="1409" spans="4:5" x14ac:dyDescent="0.2">
      <c r="D1409" s="52"/>
      <c r="E1409" s="52"/>
    </row>
    <row r="1410" spans="4:5" x14ac:dyDescent="0.2">
      <c r="D1410" s="52"/>
      <c r="E1410" s="52"/>
    </row>
    <row r="1411" spans="4:5" x14ac:dyDescent="0.2">
      <c r="D1411" s="52"/>
      <c r="E1411" s="52"/>
    </row>
    <row r="1412" spans="4:5" x14ac:dyDescent="0.2">
      <c r="D1412" s="52"/>
      <c r="E1412" s="52"/>
    </row>
    <row r="1413" spans="4:5" x14ac:dyDescent="0.2">
      <c r="D1413" s="52"/>
      <c r="E1413" s="52"/>
    </row>
    <row r="1414" spans="4:5" x14ac:dyDescent="0.2">
      <c r="D1414" s="52"/>
      <c r="E1414" s="52"/>
    </row>
    <row r="1415" spans="4:5" x14ac:dyDescent="0.2">
      <c r="D1415" s="52"/>
      <c r="E1415" s="52"/>
    </row>
    <row r="1416" spans="4:5" x14ac:dyDescent="0.2">
      <c r="D1416" s="52"/>
      <c r="E1416" s="52"/>
    </row>
    <row r="1417" spans="4:5" x14ac:dyDescent="0.2">
      <c r="D1417" s="52"/>
      <c r="E1417" s="52"/>
    </row>
    <row r="1418" spans="4:5" x14ac:dyDescent="0.2">
      <c r="D1418" s="52"/>
      <c r="E1418" s="52"/>
    </row>
    <row r="1419" spans="4:5" x14ac:dyDescent="0.2">
      <c r="D1419" s="52"/>
      <c r="E1419" s="52"/>
    </row>
    <row r="1420" spans="4:5" x14ac:dyDescent="0.2">
      <c r="D1420" s="52"/>
      <c r="E1420" s="52"/>
    </row>
    <row r="1421" spans="4:5" x14ac:dyDescent="0.2">
      <c r="D1421" s="52"/>
      <c r="E1421" s="52"/>
    </row>
    <row r="1422" spans="4:5" x14ac:dyDescent="0.2">
      <c r="D1422" s="52"/>
      <c r="E1422" s="52"/>
    </row>
    <row r="1423" spans="4:5" x14ac:dyDescent="0.2">
      <c r="D1423" s="52"/>
      <c r="E1423" s="52"/>
    </row>
    <row r="1424" spans="4:5" x14ac:dyDescent="0.2">
      <c r="D1424" s="52"/>
      <c r="E1424" s="52"/>
    </row>
    <row r="1425" spans="4:5" x14ac:dyDescent="0.2">
      <c r="D1425" s="52"/>
      <c r="E1425" s="52"/>
    </row>
    <row r="1426" spans="4:5" x14ac:dyDescent="0.2">
      <c r="D1426" s="52"/>
      <c r="E1426" s="52"/>
    </row>
    <row r="1427" spans="4:5" x14ac:dyDescent="0.2">
      <c r="D1427" s="52"/>
      <c r="E1427" s="52"/>
    </row>
    <row r="1428" spans="4:5" x14ac:dyDescent="0.2">
      <c r="D1428" s="52"/>
      <c r="E1428" s="52"/>
    </row>
    <row r="1429" spans="4:5" x14ac:dyDescent="0.2">
      <c r="D1429" s="52"/>
      <c r="E1429" s="52"/>
    </row>
    <row r="1430" spans="4:5" x14ac:dyDescent="0.2">
      <c r="D1430" s="52"/>
      <c r="E1430" s="52"/>
    </row>
    <row r="1431" spans="4:5" x14ac:dyDescent="0.2">
      <c r="D1431" s="52"/>
      <c r="E1431" s="52"/>
    </row>
    <row r="1432" spans="4:5" x14ac:dyDescent="0.2">
      <c r="D1432" s="52"/>
      <c r="E1432" s="52"/>
    </row>
    <row r="1433" spans="4:5" x14ac:dyDescent="0.2">
      <c r="D1433" s="52"/>
      <c r="E1433" s="52"/>
    </row>
    <row r="1434" spans="4:5" x14ac:dyDescent="0.2">
      <c r="D1434" s="52"/>
      <c r="E1434" s="52"/>
    </row>
    <row r="1435" spans="4:5" x14ac:dyDescent="0.2">
      <c r="D1435" s="52"/>
      <c r="E1435" s="52"/>
    </row>
    <row r="1436" spans="4:5" x14ac:dyDescent="0.2">
      <c r="D1436" s="52"/>
      <c r="E1436" s="52"/>
    </row>
    <row r="1437" spans="4:5" x14ac:dyDescent="0.2">
      <c r="D1437" s="52"/>
      <c r="E1437" s="52"/>
    </row>
    <row r="1438" spans="4:5" x14ac:dyDescent="0.2">
      <c r="D1438" s="52"/>
      <c r="E1438" s="52"/>
    </row>
    <row r="1439" spans="4:5" x14ac:dyDescent="0.2">
      <c r="D1439" s="52"/>
      <c r="E1439" s="52"/>
    </row>
    <row r="1440" spans="4:5" x14ac:dyDescent="0.2">
      <c r="D1440" s="52"/>
      <c r="E1440" s="52"/>
    </row>
    <row r="1441" spans="4:5" x14ac:dyDescent="0.2">
      <c r="D1441" s="52"/>
      <c r="E1441" s="52"/>
    </row>
    <row r="1442" spans="4:5" x14ac:dyDescent="0.2">
      <c r="D1442" s="52"/>
      <c r="E1442" s="52"/>
    </row>
    <row r="1443" spans="4:5" x14ac:dyDescent="0.2">
      <c r="D1443" s="52"/>
      <c r="E1443" s="52"/>
    </row>
    <row r="1444" spans="4:5" x14ac:dyDescent="0.2">
      <c r="D1444" s="52"/>
      <c r="E1444" s="52"/>
    </row>
    <row r="1445" spans="4:5" x14ac:dyDescent="0.2">
      <c r="D1445" s="52"/>
      <c r="E1445" s="52"/>
    </row>
    <row r="1446" spans="4:5" x14ac:dyDescent="0.2">
      <c r="D1446" s="52"/>
      <c r="E1446" s="52"/>
    </row>
    <row r="1447" spans="4:5" x14ac:dyDescent="0.2">
      <c r="D1447" s="52"/>
      <c r="E1447" s="52"/>
    </row>
    <row r="1448" spans="4:5" x14ac:dyDescent="0.2">
      <c r="D1448" s="52"/>
      <c r="E1448" s="52"/>
    </row>
    <row r="1449" spans="4:5" x14ac:dyDescent="0.2">
      <c r="D1449" s="52"/>
      <c r="E1449" s="52"/>
    </row>
    <row r="1450" spans="4:5" x14ac:dyDescent="0.2">
      <c r="D1450" s="52"/>
      <c r="E1450" s="52"/>
    </row>
    <row r="1451" spans="4:5" x14ac:dyDescent="0.2">
      <c r="D1451" s="52"/>
      <c r="E1451" s="52"/>
    </row>
    <row r="1452" spans="4:5" x14ac:dyDescent="0.2">
      <c r="D1452" s="52"/>
      <c r="E1452" s="52"/>
    </row>
    <row r="1453" spans="4:5" x14ac:dyDescent="0.2">
      <c r="D1453" s="52"/>
      <c r="E1453" s="52"/>
    </row>
    <row r="1454" spans="4:5" x14ac:dyDescent="0.2">
      <c r="D1454" s="52"/>
      <c r="E1454" s="52"/>
    </row>
    <row r="1455" spans="4:5" x14ac:dyDescent="0.2">
      <c r="D1455" s="52"/>
      <c r="E1455" s="52"/>
    </row>
    <row r="1456" spans="4:5" x14ac:dyDescent="0.2">
      <c r="D1456" s="52"/>
      <c r="E1456" s="52"/>
    </row>
    <row r="1457" spans="4:5" x14ac:dyDescent="0.2">
      <c r="D1457" s="52"/>
      <c r="E1457" s="52"/>
    </row>
    <row r="1458" spans="4:5" x14ac:dyDescent="0.2">
      <c r="D1458" s="52"/>
      <c r="E1458" s="52"/>
    </row>
    <row r="1459" spans="4:5" x14ac:dyDescent="0.2">
      <c r="D1459" s="52"/>
      <c r="E1459" s="52"/>
    </row>
    <row r="1460" spans="4:5" x14ac:dyDescent="0.2">
      <c r="D1460" s="52"/>
      <c r="E1460" s="52"/>
    </row>
    <row r="1461" spans="4:5" x14ac:dyDescent="0.2">
      <c r="D1461" s="52"/>
      <c r="E1461" s="52"/>
    </row>
    <row r="1462" spans="4:5" x14ac:dyDescent="0.2">
      <c r="D1462" s="52"/>
      <c r="E1462" s="52"/>
    </row>
    <row r="1463" spans="4:5" x14ac:dyDescent="0.2">
      <c r="D1463" s="52"/>
      <c r="E1463" s="52"/>
    </row>
    <row r="1464" spans="4:5" x14ac:dyDescent="0.2">
      <c r="D1464" s="52"/>
      <c r="E1464" s="52"/>
    </row>
    <row r="1465" spans="4:5" x14ac:dyDescent="0.2">
      <c r="D1465" s="52"/>
      <c r="E1465" s="52"/>
    </row>
    <row r="1466" spans="4:5" x14ac:dyDescent="0.2">
      <c r="D1466" s="52"/>
      <c r="E1466" s="52"/>
    </row>
    <row r="1467" spans="4:5" x14ac:dyDescent="0.2">
      <c r="D1467" s="52"/>
      <c r="E1467" s="52"/>
    </row>
    <row r="1468" spans="4:5" x14ac:dyDescent="0.2">
      <c r="D1468" s="52"/>
      <c r="E1468" s="52"/>
    </row>
    <row r="1469" spans="4:5" x14ac:dyDescent="0.2">
      <c r="D1469" s="52"/>
      <c r="E1469" s="52"/>
    </row>
    <row r="1470" spans="4:5" x14ac:dyDescent="0.2">
      <c r="D1470" s="52"/>
      <c r="E1470" s="52"/>
    </row>
    <row r="1471" spans="4:5" x14ac:dyDescent="0.2">
      <c r="D1471" s="52"/>
      <c r="E1471" s="52"/>
    </row>
    <row r="1472" spans="4:5" x14ac:dyDescent="0.2">
      <c r="D1472" s="52"/>
      <c r="E1472" s="52"/>
    </row>
    <row r="1473" spans="4:5" x14ac:dyDescent="0.2">
      <c r="D1473" s="52"/>
      <c r="E1473" s="52"/>
    </row>
    <row r="1474" spans="4:5" x14ac:dyDescent="0.2">
      <c r="D1474" s="52"/>
      <c r="E1474" s="52"/>
    </row>
    <row r="1475" spans="4:5" x14ac:dyDescent="0.2">
      <c r="D1475" s="52"/>
      <c r="E1475" s="52"/>
    </row>
    <row r="1476" spans="4:5" x14ac:dyDescent="0.2">
      <c r="D1476" s="52"/>
      <c r="E1476" s="52"/>
    </row>
    <row r="1477" spans="4:5" x14ac:dyDescent="0.2">
      <c r="D1477" s="52"/>
      <c r="E1477" s="52"/>
    </row>
    <row r="1478" spans="4:5" x14ac:dyDescent="0.2">
      <c r="D1478" s="52"/>
      <c r="E1478" s="52"/>
    </row>
    <row r="1479" spans="4:5" x14ac:dyDescent="0.2">
      <c r="D1479" s="52"/>
      <c r="E1479" s="52"/>
    </row>
    <row r="1480" spans="4:5" x14ac:dyDescent="0.2">
      <c r="D1480" s="52"/>
      <c r="E1480" s="52"/>
    </row>
    <row r="1481" spans="4:5" x14ac:dyDescent="0.2">
      <c r="D1481" s="52"/>
      <c r="E1481" s="52"/>
    </row>
    <row r="1482" spans="4:5" x14ac:dyDescent="0.2">
      <c r="D1482" s="52"/>
      <c r="E1482" s="52"/>
    </row>
    <row r="1483" spans="4:5" x14ac:dyDescent="0.2">
      <c r="D1483" s="52"/>
      <c r="E1483" s="52"/>
    </row>
    <row r="1484" spans="4:5" x14ac:dyDescent="0.2">
      <c r="D1484" s="52"/>
      <c r="E1484" s="52"/>
    </row>
    <row r="1485" spans="4:5" x14ac:dyDescent="0.2">
      <c r="D1485" s="52"/>
      <c r="E1485" s="52"/>
    </row>
    <row r="1486" spans="4:5" x14ac:dyDescent="0.2">
      <c r="D1486" s="52"/>
      <c r="E1486" s="52"/>
    </row>
    <row r="1487" spans="4:5" x14ac:dyDescent="0.2">
      <c r="D1487" s="52"/>
      <c r="E1487" s="52"/>
    </row>
    <row r="1488" spans="4:5" x14ac:dyDescent="0.2">
      <c r="D1488" s="52"/>
      <c r="E1488" s="52"/>
    </row>
    <row r="1489" spans="4:5" x14ac:dyDescent="0.2">
      <c r="D1489" s="52"/>
      <c r="E1489" s="52"/>
    </row>
    <row r="1490" spans="4:5" x14ac:dyDescent="0.2">
      <c r="D1490" s="52"/>
      <c r="E1490" s="52"/>
    </row>
    <row r="1491" spans="4:5" x14ac:dyDescent="0.2">
      <c r="D1491" s="52"/>
      <c r="E1491" s="52"/>
    </row>
    <row r="1492" spans="4:5" x14ac:dyDescent="0.2">
      <c r="D1492" s="52"/>
      <c r="E1492" s="52"/>
    </row>
    <row r="1493" spans="4:5" x14ac:dyDescent="0.2">
      <c r="D1493" s="52"/>
      <c r="E1493" s="52"/>
    </row>
    <row r="1494" spans="4:5" x14ac:dyDescent="0.2">
      <c r="D1494" s="52"/>
      <c r="E1494" s="52"/>
    </row>
    <row r="1495" spans="4:5" x14ac:dyDescent="0.2">
      <c r="D1495" s="52"/>
      <c r="E1495" s="52"/>
    </row>
    <row r="1496" spans="4:5" x14ac:dyDescent="0.2">
      <c r="D1496" s="52"/>
      <c r="E1496" s="52"/>
    </row>
    <row r="1497" spans="4:5" x14ac:dyDescent="0.2">
      <c r="D1497" s="52"/>
      <c r="E1497" s="52"/>
    </row>
    <row r="1498" spans="4:5" x14ac:dyDescent="0.2">
      <c r="D1498" s="52"/>
      <c r="E1498" s="52"/>
    </row>
    <row r="1499" spans="4:5" x14ac:dyDescent="0.2">
      <c r="D1499" s="52"/>
      <c r="E1499" s="52"/>
    </row>
    <row r="1500" spans="4:5" x14ac:dyDescent="0.2">
      <c r="D1500" s="52"/>
      <c r="E1500" s="52"/>
    </row>
    <row r="1501" spans="4:5" x14ac:dyDescent="0.2">
      <c r="D1501" s="52"/>
      <c r="E1501" s="52"/>
    </row>
    <row r="1502" spans="4:5" x14ac:dyDescent="0.2">
      <c r="D1502" s="52"/>
      <c r="E1502" s="52"/>
    </row>
    <row r="1503" spans="4:5" x14ac:dyDescent="0.2">
      <c r="D1503" s="52"/>
      <c r="E1503" s="52"/>
    </row>
    <row r="1504" spans="4:5" x14ac:dyDescent="0.2">
      <c r="D1504" s="52"/>
      <c r="E1504" s="52"/>
    </row>
    <row r="1505" spans="4:5" x14ac:dyDescent="0.2">
      <c r="D1505" s="52"/>
      <c r="E1505" s="52"/>
    </row>
    <row r="1506" spans="4:5" x14ac:dyDescent="0.2">
      <c r="D1506" s="52"/>
      <c r="E1506" s="52"/>
    </row>
    <row r="1507" spans="4:5" x14ac:dyDescent="0.2">
      <c r="D1507" s="52"/>
      <c r="E1507" s="52"/>
    </row>
    <row r="1508" spans="4:5" x14ac:dyDescent="0.2">
      <c r="D1508" s="52"/>
      <c r="E1508" s="52"/>
    </row>
    <row r="1509" spans="4:5" x14ac:dyDescent="0.2">
      <c r="D1509" s="52"/>
      <c r="E1509" s="52"/>
    </row>
    <row r="1510" spans="4:5" x14ac:dyDescent="0.2">
      <c r="D1510" s="52"/>
      <c r="E1510" s="52"/>
    </row>
    <row r="1511" spans="4:5" x14ac:dyDescent="0.2">
      <c r="D1511" s="52"/>
      <c r="E1511" s="52"/>
    </row>
    <row r="1512" spans="4:5" x14ac:dyDescent="0.2">
      <c r="D1512" s="52"/>
      <c r="E1512" s="52"/>
    </row>
    <row r="1513" spans="4:5" x14ac:dyDescent="0.2">
      <c r="D1513" s="52"/>
      <c r="E1513" s="52"/>
    </row>
    <row r="1514" spans="4:5" x14ac:dyDescent="0.2">
      <c r="D1514" s="52"/>
      <c r="E1514" s="52"/>
    </row>
    <row r="1515" spans="4:5" x14ac:dyDescent="0.2">
      <c r="D1515" s="52"/>
      <c r="E1515" s="52"/>
    </row>
    <row r="1516" spans="4:5" x14ac:dyDescent="0.2">
      <c r="D1516" s="52"/>
      <c r="E1516" s="52"/>
    </row>
    <row r="1517" spans="4:5" x14ac:dyDescent="0.2">
      <c r="D1517" s="52"/>
      <c r="E1517" s="52"/>
    </row>
    <row r="1518" spans="4:5" x14ac:dyDescent="0.2">
      <c r="D1518" s="52"/>
      <c r="E1518" s="52"/>
    </row>
    <row r="1519" spans="4:5" x14ac:dyDescent="0.2">
      <c r="D1519" s="52"/>
      <c r="E1519" s="52"/>
    </row>
    <row r="1520" spans="4:5" x14ac:dyDescent="0.2">
      <c r="D1520" s="52"/>
      <c r="E1520" s="52"/>
    </row>
    <row r="1521" spans="4:5" x14ac:dyDescent="0.2">
      <c r="D1521" s="52"/>
      <c r="E1521" s="52"/>
    </row>
    <row r="1522" spans="4:5" x14ac:dyDescent="0.2">
      <c r="D1522" s="52"/>
      <c r="E1522" s="52"/>
    </row>
    <row r="1523" spans="4:5" x14ac:dyDescent="0.2">
      <c r="D1523" s="52"/>
      <c r="E1523" s="52"/>
    </row>
    <row r="1524" spans="4:5" x14ac:dyDescent="0.2">
      <c r="D1524" s="52"/>
      <c r="E1524" s="52"/>
    </row>
    <row r="1525" spans="4:5" x14ac:dyDescent="0.2">
      <c r="D1525" s="52"/>
      <c r="E1525" s="52"/>
    </row>
    <row r="1526" spans="4:5" x14ac:dyDescent="0.2">
      <c r="D1526" s="52"/>
      <c r="E1526" s="52"/>
    </row>
    <row r="1527" spans="4:5" x14ac:dyDescent="0.2">
      <c r="D1527" s="52"/>
      <c r="E1527" s="52"/>
    </row>
    <row r="1528" spans="4:5" x14ac:dyDescent="0.2">
      <c r="D1528" s="52"/>
      <c r="E1528" s="52"/>
    </row>
    <row r="1529" spans="4:5" x14ac:dyDescent="0.2">
      <c r="D1529" s="52"/>
      <c r="E1529" s="52"/>
    </row>
    <row r="1530" spans="4:5" x14ac:dyDescent="0.2">
      <c r="D1530" s="52"/>
      <c r="E1530" s="52"/>
    </row>
    <row r="1531" spans="4:5" x14ac:dyDescent="0.2">
      <c r="D1531" s="52"/>
      <c r="E1531" s="52"/>
    </row>
    <row r="1532" spans="4:5" x14ac:dyDescent="0.2">
      <c r="D1532" s="52"/>
      <c r="E1532" s="52"/>
    </row>
    <row r="1533" spans="4:5" x14ac:dyDescent="0.2">
      <c r="D1533" s="52"/>
      <c r="E1533" s="52"/>
    </row>
    <row r="1534" spans="4:5" x14ac:dyDescent="0.2">
      <c r="D1534" s="52"/>
      <c r="E1534" s="52"/>
    </row>
    <row r="1535" spans="4:5" x14ac:dyDescent="0.2">
      <c r="D1535" s="52"/>
      <c r="E1535" s="52"/>
    </row>
    <row r="1536" spans="4:5" x14ac:dyDescent="0.2">
      <c r="D1536" s="52"/>
      <c r="E1536" s="52"/>
    </row>
    <row r="1537" spans="4:5" x14ac:dyDescent="0.2">
      <c r="D1537" s="52"/>
      <c r="E1537" s="52"/>
    </row>
    <row r="1538" spans="4:5" x14ac:dyDescent="0.2">
      <c r="D1538" s="52"/>
      <c r="E1538" s="52"/>
    </row>
    <row r="1539" spans="4:5" x14ac:dyDescent="0.2">
      <c r="D1539" s="52"/>
      <c r="E1539" s="52"/>
    </row>
    <row r="1540" spans="4:5" x14ac:dyDescent="0.2">
      <c r="D1540" s="52"/>
      <c r="E1540" s="52"/>
    </row>
    <row r="1541" spans="4:5" x14ac:dyDescent="0.2">
      <c r="D1541" s="52"/>
      <c r="E1541" s="52"/>
    </row>
    <row r="1542" spans="4:5" x14ac:dyDescent="0.2">
      <c r="D1542" s="52"/>
      <c r="E1542" s="52"/>
    </row>
    <row r="1543" spans="4:5" x14ac:dyDescent="0.2">
      <c r="D1543" s="52"/>
      <c r="E1543" s="52"/>
    </row>
    <row r="1544" spans="4:5" x14ac:dyDescent="0.2">
      <c r="D1544" s="52"/>
      <c r="E1544" s="52"/>
    </row>
    <row r="1545" spans="4:5" x14ac:dyDescent="0.2">
      <c r="D1545" s="52"/>
      <c r="E1545" s="52"/>
    </row>
    <row r="1546" spans="4:5" x14ac:dyDescent="0.2">
      <c r="D1546" s="52"/>
      <c r="E1546" s="52"/>
    </row>
    <row r="1547" spans="4:5" x14ac:dyDescent="0.2">
      <c r="D1547" s="52"/>
      <c r="E1547" s="52"/>
    </row>
    <row r="1548" spans="4:5" x14ac:dyDescent="0.2">
      <c r="D1548" s="52"/>
      <c r="E1548" s="52"/>
    </row>
    <row r="1549" spans="4:5" x14ac:dyDescent="0.2">
      <c r="D1549" s="52"/>
      <c r="E1549" s="52"/>
    </row>
    <row r="1550" spans="4:5" x14ac:dyDescent="0.2">
      <c r="D1550" s="52"/>
      <c r="E1550" s="52"/>
    </row>
    <row r="1551" spans="4:5" x14ac:dyDescent="0.2">
      <c r="D1551" s="52"/>
      <c r="E1551" s="52"/>
    </row>
    <row r="1552" spans="4:5" x14ac:dyDescent="0.2">
      <c r="D1552" s="52"/>
      <c r="E1552" s="52"/>
    </row>
    <row r="1553" spans="4:5" x14ac:dyDescent="0.2">
      <c r="D1553" s="52"/>
      <c r="E1553" s="52"/>
    </row>
    <row r="1554" spans="4:5" x14ac:dyDescent="0.2">
      <c r="D1554" s="52"/>
      <c r="E1554" s="52"/>
    </row>
    <row r="1555" spans="4:5" x14ac:dyDescent="0.2">
      <c r="D1555" s="52"/>
      <c r="E1555" s="52"/>
    </row>
    <row r="1556" spans="4:5" x14ac:dyDescent="0.2">
      <c r="D1556" s="52"/>
      <c r="E1556" s="52"/>
    </row>
    <row r="1557" spans="4:5" x14ac:dyDescent="0.2">
      <c r="D1557" s="52"/>
      <c r="E1557" s="52"/>
    </row>
    <row r="1558" spans="4:5" x14ac:dyDescent="0.2">
      <c r="D1558" s="52"/>
      <c r="E1558" s="52"/>
    </row>
    <row r="1559" spans="4:5" x14ac:dyDescent="0.2">
      <c r="D1559" s="52"/>
      <c r="E1559" s="52"/>
    </row>
    <row r="1560" spans="4:5" x14ac:dyDescent="0.2">
      <c r="D1560" s="52"/>
      <c r="E1560" s="52"/>
    </row>
    <row r="1561" spans="4:5" x14ac:dyDescent="0.2">
      <c r="D1561" s="52"/>
      <c r="E1561" s="52"/>
    </row>
    <row r="1562" spans="4:5" x14ac:dyDescent="0.2">
      <c r="D1562" s="52"/>
      <c r="E1562" s="52"/>
    </row>
    <row r="1563" spans="4:5" x14ac:dyDescent="0.2">
      <c r="D1563" s="52"/>
      <c r="E1563" s="52"/>
    </row>
    <row r="1564" spans="4:5" x14ac:dyDescent="0.2">
      <c r="D1564" s="52"/>
      <c r="E1564" s="52"/>
    </row>
    <row r="1565" spans="4:5" x14ac:dyDescent="0.2">
      <c r="D1565" s="52"/>
      <c r="E1565" s="52"/>
    </row>
    <row r="1566" spans="4:5" x14ac:dyDescent="0.2">
      <c r="D1566" s="52"/>
      <c r="E1566" s="52"/>
    </row>
    <row r="1567" spans="4:5" x14ac:dyDescent="0.2">
      <c r="D1567" s="52"/>
      <c r="E1567" s="52"/>
    </row>
    <row r="1568" spans="4:5" x14ac:dyDescent="0.2">
      <c r="D1568" s="52"/>
      <c r="E1568" s="52"/>
    </row>
    <row r="1569" spans="4:5" x14ac:dyDescent="0.2">
      <c r="D1569" s="52"/>
      <c r="E1569" s="52"/>
    </row>
    <row r="1570" spans="4:5" x14ac:dyDescent="0.2">
      <c r="D1570" s="52"/>
      <c r="E1570" s="52"/>
    </row>
    <row r="1571" spans="4:5" x14ac:dyDescent="0.2">
      <c r="D1571" s="52"/>
      <c r="E1571" s="52"/>
    </row>
    <row r="1572" spans="4:5" x14ac:dyDescent="0.2">
      <c r="D1572" s="52"/>
      <c r="E1572" s="52"/>
    </row>
    <row r="1573" spans="4:5" x14ac:dyDescent="0.2">
      <c r="D1573" s="52"/>
      <c r="E1573" s="52"/>
    </row>
    <row r="1574" spans="4:5" x14ac:dyDescent="0.2">
      <c r="D1574" s="52"/>
      <c r="E1574" s="52"/>
    </row>
    <row r="1575" spans="4:5" x14ac:dyDescent="0.2">
      <c r="D1575" s="52"/>
      <c r="E1575" s="52"/>
    </row>
    <row r="1576" spans="4:5" x14ac:dyDescent="0.2">
      <c r="D1576" s="52"/>
      <c r="E1576" s="52"/>
    </row>
    <row r="1577" spans="4:5" x14ac:dyDescent="0.2">
      <c r="D1577" s="52"/>
      <c r="E1577" s="52"/>
    </row>
    <row r="1578" spans="4:5" x14ac:dyDescent="0.2">
      <c r="D1578" s="52"/>
      <c r="E1578" s="52"/>
    </row>
    <row r="1579" spans="4:5" x14ac:dyDescent="0.2">
      <c r="D1579" s="52"/>
      <c r="E1579" s="52"/>
    </row>
    <row r="1580" spans="4:5" x14ac:dyDescent="0.2">
      <c r="D1580" s="52"/>
      <c r="E1580" s="52"/>
    </row>
    <row r="1581" spans="4:5" x14ac:dyDescent="0.2">
      <c r="D1581" s="52"/>
      <c r="E1581" s="52"/>
    </row>
    <row r="1582" spans="4:5" x14ac:dyDescent="0.2">
      <c r="D1582" s="52"/>
      <c r="E1582" s="52"/>
    </row>
    <row r="1583" spans="4:5" x14ac:dyDescent="0.2">
      <c r="D1583" s="52"/>
      <c r="E1583" s="52"/>
    </row>
    <row r="1584" spans="4:5" x14ac:dyDescent="0.2">
      <c r="D1584" s="52"/>
      <c r="E1584" s="52"/>
    </row>
    <row r="1585" spans="4:5" x14ac:dyDescent="0.2">
      <c r="D1585" s="52"/>
      <c r="E1585" s="52"/>
    </row>
    <row r="1586" spans="4:5" x14ac:dyDescent="0.2">
      <c r="D1586" s="52"/>
      <c r="E1586" s="52"/>
    </row>
    <row r="1587" spans="4:5" x14ac:dyDescent="0.2">
      <c r="D1587" s="52"/>
      <c r="E1587" s="52"/>
    </row>
    <row r="1588" spans="4:5" x14ac:dyDescent="0.2">
      <c r="D1588" s="52"/>
      <c r="E1588" s="52"/>
    </row>
    <row r="1589" spans="4:5" x14ac:dyDescent="0.2">
      <c r="D1589" s="52"/>
      <c r="E1589" s="52"/>
    </row>
    <row r="1590" spans="4:5" x14ac:dyDescent="0.2">
      <c r="D1590" s="52"/>
      <c r="E1590" s="52"/>
    </row>
    <row r="1591" spans="4:5" x14ac:dyDescent="0.2">
      <c r="D1591" s="52"/>
      <c r="E1591" s="52"/>
    </row>
    <row r="1592" spans="4:5" x14ac:dyDescent="0.2">
      <c r="D1592" s="52"/>
      <c r="E1592" s="52"/>
    </row>
    <row r="1593" spans="4:5" x14ac:dyDescent="0.2">
      <c r="D1593" s="52"/>
      <c r="E1593" s="52"/>
    </row>
    <row r="1594" spans="4:5" x14ac:dyDescent="0.2">
      <c r="D1594" s="52"/>
      <c r="E1594" s="52"/>
    </row>
    <row r="1595" spans="4:5" x14ac:dyDescent="0.2">
      <c r="D1595" s="52"/>
      <c r="E1595" s="52"/>
    </row>
    <row r="1596" spans="4:5" x14ac:dyDescent="0.2">
      <c r="D1596" s="52"/>
      <c r="E1596" s="52"/>
    </row>
    <row r="1597" spans="4:5" x14ac:dyDescent="0.2">
      <c r="D1597" s="52"/>
      <c r="E1597" s="52"/>
    </row>
    <row r="1598" spans="4:5" x14ac:dyDescent="0.2">
      <c r="D1598" s="52"/>
      <c r="E1598" s="52"/>
    </row>
    <row r="1599" spans="4:5" x14ac:dyDescent="0.2">
      <c r="D1599" s="52"/>
      <c r="E1599" s="52"/>
    </row>
    <row r="1600" spans="4:5" x14ac:dyDescent="0.2">
      <c r="D1600" s="52"/>
      <c r="E1600" s="52"/>
    </row>
    <row r="1601" spans="4:5" x14ac:dyDescent="0.2">
      <c r="D1601" s="52"/>
      <c r="E1601" s="52"/>
    </row>
    <row r="1602" spans="4:5" x14ac:dyDescent="0.2">
      <c r="D1602" s="52"/>
      <c r="E1602" s="52"/>
    </row>
    <row r="1603" spans="4:5" x14ac:dyDescent="0.2">
      <c r="D1603" s="52"/>
      <c r="E1603" s="52"/>
    </row>
    <row r="1604" spans="4:5" x14ac:dyDescent="0.2">
      <c r="D1604" s="52"/>
      <c r="E1604" s="52"/>
    </row>
    <row r="1605" spans="4:5" x14ac:dyDescent="0.2">
      <c r="D1605" s="52"/>
      <c r="E1605" s="52"/>
    </row>
    <row r="1606" spans="4:5" x14ac:dyDescent="0.2">
      <c r="D1606" s="52"/>
      <c r="E1606" s="52"/>
    </row>
    <row r="1607" spans="4:5" x14ac:dyDescent="0.2">
      <c r="D1607" s="52"/>
      <c r="E1607" s="52"/>
    </row>
    <row r="1608" spans="4:5" x14ac:dyDescent="0.2">
      <c r="D1608" s="52"/>
      <c r="E1608" s="52"/>
    </row>
    <row r="1609" spans="4:5" x14ac:dyDescent="0.2">
      <c r="D1609" s="52"/>
      <c r="E1609" s="52"/>
    </row>
    <row r="1610" spans="4:5" x14ac:dyDescent="0.2">
      <c r="D1610" s="52"/>
      <c r="E1610" s="52"/>
    </row>
    <row r="1611" spans="4:5" x14ac:dyDescent="0.2">
      <c r="D1611" s="52"/>
      <c r="E1611" s="52"/>
    </row>
    <row r="1612" spans="4:5" x14ac:dyDescent="0.2">
      <c r="D1612" s="52"/>
      <c r="E1612" s="52"/>
    </row>
    <row r="1613" spans="4:5" x14ac:dyDescent="0.2">
      <c r="D1613" s="52"/>
      <c r="E1613" s="52"/>
    </row>
    <row r="1614" spans="4:5" x14ac:dyDescent="0.2">
      <c r="D1614" s="52"/>
      <c r="E1614" s="52"/>
    </row>
    <row r="1615" spans="4:5" x14ac:dyDescent="0.2">
      <c r="D1615" s="52"/>
      <c r="E1615" s="52"/>
    </row>
    <row r="1616" spans="4:5" x14ac:dyDescent="0.2">
      <c r="D1616" s="52"/>
      <c r="E1616" s="52"/>
    </row>
    <row r="1617" spans="4:5" x14ac:dyDescent="0.2">
      <c r="D1617" s="52"/>
      <c r="E1617" s="52"/>
    </row>
    <row r="1618" spans="4:5" x14ac:dyDescent="0.2">
      <c r="D1618" s="52"/>
      <c r="E1618" s="52"/>
    </row>
    <row r="1619" spans="4:5" x14ac:dyDescent="0.2">
      <c r="D1619" s="52"/>
      <c r="E1619" s="52"/>
    </row>
    <row r="1620" spans="4:5" x14ac:dyDescent="0.2">
      <c r="D1620" s="52"/>
      <c r="E1620" s="52"/>
    </row>
    <row r="1621" spans="4:5" x14ac:dyDescent="0.2">
      <c r="D1621" s="52"/>
      <c r="E1621" s="52"/>
    </row>
    <row r="1622" spans="4:5" x14ac:dyDescent="0.2">
      <c r="D1622" s="52"/>
      <c r="E1622" s="52"/>
    </row>
    <row r="1623" spans="4:5" x14ac:dyDescent="0.2">
      <c r="D1623" s="52"/>
      <c r="E1623" s="52"/>
    </row>
    <row r="1624" spans="4:5" x14ac:dyDescent="0.2">
      <c r="D1624" s="52"/>
      <c r="E1624" s="52"/>
    </row>
    <row r="1625" spans="4:5" x14ac:dyDescent="0.2">
      <c r="D1625" s="52"/>
      <c r="E1625" s="52"/>
    </row>
    <row r="1626" spans="4:5" x14ac:dyDescent="0.2">
      <c r="D1626" s="52"/>
      <c r="E1626" s="52"/>
    </row>
    <row r="1627" spans="4:5" x14ac:dyDescent="0.2">
      <c r="D1627" s="52"/>
      <c r="E1627" s="52"/>
    </row>
    <row r="1628" spans="4:5" x14ac:dyDescent="0.2">
      <c r="D1628" s="52"/>
      <c r="E1628" s="52"/>
    </row>
    <row r="1629" spans="4:5" x14ac:dyDescent="0.2">
      <c r="D1629" s="52"/>
      <c r="E1629" s="52"/>
    </row>
    <row r="1630" spans="4:5" x14ac:dyDescent="0.2">
      <c r="D1630" s="52"/>
      <c r="E1630" s="52"/>
    </row>
    <row r="1631" spans="4:5" x14ac:dyDescent="0.2">
      <c r="D1631" s="52"/>
      <c r="E1631" s="52"/>
    </row>
    <row r="1632" spans="4:5" x14ac:dyDescent="0.2">
      <c r="D1632" s="52"/>
      <c r="E1632" s="52"/>
    </row>
    <row r="1633" spans="4:5" x14ac:dyDescent="0.2">
      <c r="D1633" s="52"/>
      <c r="E1633" s="52"/>
    </row>
    <row r="1634" spans="4:5" x14ac:dyDescent="0.2">
      <c r="D1634" s="52"/>
      <c r="E1634" s="52"/>
    </row>
    <row r="1635" spans="4:5" x14ac:dyDescent="0.2">
      <c r="D1635" s="52"/>
      <c r="E1635" s="52"/>
    </row>
    <row r="1636" spans="4:5" x14ac:dyDescent="0.2">
      <c r="D1636" s="52"/>
      <c r="E1636" s="52"/>
    </row>
    <row r="1637" spans="4:5" x14ac:dyDescent="0.2">
      <c r="D1637" s="52"/>
      <c r="E1637" s="52"/>
    </row>
    <row r="1638" spans="4:5" x14ac:dyDescent="0.2">
      <c r="D1638" s="52"/>
      <c r="E1638" s="52"/>
    </row>
    <row r="1639" spans="4:5" x14ac:dyDescent="0.2">
      <c r="D1639" s="52"/>
      <c r="E1639" s="52"/>
    </row>
    <row r="1640" spans="4:5" x14ac:dyDescent="0.2">
      <c r="D1640" s="52"/>
      <c r="E1640" s="52"/>
    </row>
    <row r="1641" spans="4:5" x14ac:dyDescent="0.2">
      <c r="D1641" s="52"/>
      <c r="E1641" s="52"/>
    </row>
    <row r="1642" spans="4:5" x14ac:dyDescent="0.2">
      <c r="D1642" s="52"/>
      <c r="E1642" s="52"/>
    </row>
    <row r="1643" spans="4:5" x14ac:dyDescent="0.2">
      <c r="D1643" s="52"/>
      <c r="E1643" s="52"/>
    </row>
    <row r="1644" spans="4:5" x14ac:dyDescent="0.2">
      <c r="D1644" s="52"/>
      <c r="E1644" s="52"/>
    </row>
    <row r="1645" spans="4:5" x14ac:dyDescent="0.2">
      <c r="D1645" s="52"/>
      <c r="E1645" s="52"/>
    </row>
    <row r="1646" spans="4:5" x14ac:dyDescent="0.2">
      <c r="D1646" s="52"/>
      <c r="E1646" s="52"/>
    </row>
    <row r="1647" spans="4:5" x14ac:dyDescent="0.2">
      <c r="D1647" s="52"/>
      <c r="E1647" s="52"/>
    </row>
    <row r="1648" spans="4:5" x14ac:dyDescent="0.2">
      <c r="D1648" s="52"/>
      <c r="E1648" s="52"/>
    </row>
    <row r="1649" spans="4:5" x14ac:dyDescent="0.2">
      <c r="D1649" s="52"/>
      <c r="E1649" s="52"/>
    </row>
    <row r="1650" spans="4:5" x14ac:dyDescent="0.2">
      <c r="D1650" s="52"/>
      <c r="E1650" s="52"/>
    </row>
    <row r="1651" spans="4:5" x14ac:dyDescent="0.2">
      <c r="D1651" s="52"/>
      <c r="E1651" s="52"/>
    </row>
    <row r="1652" spans="4:5" x14ac:dyDescent="0.2">
      <c r="D1652" s="52"/>
      <c r="E1652" s="52"/>
    </row>
    <row r="1653" spans="4:5" x14ac:dyDescent="0.2">
      <c r="D1653" s="52"/>
      <c r="E1653" s="52"/>
    </row>
    <row r="1654" spans="4:5" x14ac:dyDescent="0.2">
      <c r="D1654" s="52"/>
      <c r="E1654" s="52"/>
    </row>
    <row r="1655" spans="4:5" x14ac:dyDescent="0.2">
      <c r="D1655" s="52"/>
      <c r="E1655" s="52"/>
    </row>
    <row r="1656" spans="4:5" x14ac:dyDescent="0.2">
      <c r="D1656" s="52"/>
      <c r="E1656" s="52"/>
    </row>
    <row r="1657" spans="4:5" x14ac:dyDescent="0.2">
      <c r="D1657" s="52"/>
      <c r="E1657" s="52"/>
    </row>
    <row r="1658" spans="4:5" x14ac:dyDescent="0.2">
      <c r="D1658" s="52"/>
      <c r="E1658" s="52"/>
    </row>
    <row r="1659" spans="4:5" x14ac:dyDescent="0.2">
      <c r="D1659" s="52"/>
      <c r="E1659" s="52"/>
    </row>
    <row r="1660" spans="4:5" x14ac:dyDescent="0.2">
      <c r="D1660" s="52"/>
      <c r="E1660" s="52"/>
    </row>
    <row r="1661" spans="4:5" x14ac:dyDescent="0.2">
      <c r="D1661" s="52"/>
      <c r="E1661" s="52"/>
    </row>
    <row r="1662" spans="4:5" x14ac:dyDescent="0.2">
      <c r="D1662" s="52"/>
      <c r="E1662" s="52"/>
    </row>
    <row r="1663" spans="4:5" x14ac:dyDescent="0.2">
      <c r="D1663" s="52"/>
      <c r="E1663" s="52"/>
    </row>
    <row r="1664" spans="4:5" x14ac:dyDescent="0.2">
      <c r="D1664" s="52"/>
      <c r="E1664" s="52"/>
    </row>
    <row r="1665" spans="4:5" x14ac:dyDescent="0.2">
      <c r="D1665" s="52"/>
      <c r="E1665" s="52"/>
    </row>
    <row r="1666" spans="4:5" x14ac:dyDescent="0.2">
      <c r="D1666" s="52"/>
      <c r="E1666" s="52"/>
    </row>
    <row r="1667" spans="4:5" x14ac:dyDescent="0.2">
      <c r="D1667" s="52"/>
      <c r="E1667" s="52"/>
    </row>
    <row r="1668" spans="4:5" x14ac:dyDescent="0.2">
      <c r="D1668" s="52"/>
      <c r="E1668" s="52"/>
    </row>
    <row r="1669" spans="4:5" x14ac:dyDescent="0.2">
      <c r="D1669" s="52"/>
      <c r="E1669" s="52"/>
    </row>
    <row r="1670" spans="4:5" x14ac:dyDescent="0.2">
      <c r="D1670" s="52"/>
      <c r="E1670" s="52"/>
    </row>
    <row r="1671" spans="4:5" x14ac:dyDescent="0.2">
      <c r="D1671" s="52"/>
      <c r="E1671" s="52"/>
    </row>
    <row r="1672" spans="4:5" x14ac:dyDescent="0.2">
      <c r="D1672" s="52"/>
      <c r="E1672" s="52"/>
    </row>
    <row r="1673" spans="4:5" x14ac:dyDescent="0.2">
      <c r="D1673" s="52"/>
      <c r="E1673" s="52"/>
    </row>
    <row r="1674" spans="4:5" x14ac:dyDescent="0.2">
      <c r="D1674" s="52"/>
      <c r="E1674" s="52"/>
    </row>
    <row r="1675" spans="4:5" x14ac:dyDescent="0.2">
      <c r="D1675" s="52"/>
      <c r="E1675" s="52"/>
    </row>
    <row r="1676" spans="4:5" x14ac:dyDescent="0.2">
      <c r="D1676" s="52"/>
      <c r="E1676" s="52"/>
    </row>
    <row r="1677" spans="4:5" x14ac:dyDescent="0.2">
      <c r="D1677" s="52"/>
      <c r="E1677" s="52"/>
    </row>
    <row r="1678" spans="4:5" x14ac:dyDescent="0.2">
      <c r="D1678" s="52"/>
      <c r="E1678" s="52"/>
    </row>
    <row r="1679" spans="4:5" x14ac:dyDescent="0.2">
      <c r="D1679" s="52"/>
      <c r="E1679" s="52"/>
    </row>
    <row r="1680" spans="4:5" x14ac:dyDescent="0.2">
      <c r="D1680" s="52"/>
      <c r="E1680" s="52"/>
    </row>
    <row r="1681" spans="4:5" x14ac:dyDescent="0.2">
      <c r="D1681" s="52"/>
      <c r="E1681" s="52"/>
    </row>
    <row r="1682" spans="4:5" x14ac:dyDescent="0.2">
      <c r="D1682" s="52"/>
      <c r="E1682" s="52"/>
    </row>
    <row r="1683" spans="4:5" x14ac:dyDescent="0.2">
      <c r="D1683" s="52"/>
      <c r="E1683" s="52"/>
    </row>
    <row r="1684" spans="4:5" x14ac:dyDescent="0.2">
      <c r="D1684" s="52"/>
      <c r="E1684" s="52"/>
    </row>
    <row r="1685" spans="4:5" x14ac:dyDescent="0.2">
      <c r="D1685" s="52"/>
      <c r="E1685" s="52"/>
    </row>
    <row r="1686" spans="4:5" x14ac:dyDescent="0.2">
      <c r="D1686" s="52"/>
      <c r="E1686" s="52"/>
    </row>
    <row r="1687" spans="4:5" x14ac:dyDescent="0.2">
      <c r="D1687" s="52"/>
      <c r="E1687" s="52"/>
    </row>
    <row r="1688" spans="4:5" x14ac:dyDescent="0.2">
      <c r="D1688" s="52"/>
      <c r="E1688" s="52"/>
    </row>
    <row r="1689" spans="4:5" x14ac:dyDescent="0.2">
      <c r="D1689" s="52"/>
      <c r="E1689" s="52"/>
    </row>
    <row r="1690" spans="4:5" x14ac:dyDescent="0.2">
      <c r="D1690" s="52"/>
      <c r="E1690" s="52"/>
    </row>
    <row r="1691" spans="4:5" x14ac:dyDescent="0.2">
      <c r="D1691" s="52"/>
      <c r="E1691" s="52"/>
    </row>
    <row r="1692" spans="4:5" x14ac:dyDescent="0.2">
      <c r="D1692" s="52"/>
      <c r="E1692" s="52"/>
    </row>
    <row r="1693" spans="4:5" x14ac:dyDescent="0.2">
      <c r="D1693" s="52"/>
      <c r="E1693" s="52"/>
    </row>
    <row r="1694" spans="4:5" x14ac:dyDescent="0.2">
      <c r="D1694" s="52"/>
      <c r="E1694" s="52"/>
    </row>
    <row r="1695" spans="4:5" x14ac:dyDescent="0.2">
      <c r="D1695" s="52"/>
      <c r="E1695" s="52"/>
    </row>
    <row r="1696" spans="4:5" x14ac:dyDescent="0.2">
      <c r="D1696" s="52"/>
      <c r="E1696" s="52"/>
    </row>
    <row r="1697" spans="4:5" x14ac:dyDescent="0.2">
      <c r="D1697" s="52"/>
      <c r="E1697" s="52"/>
    </row>
    <row r="1698" spans="4:5" x14ac:dyDescent="0.2">
      <c r="D1698" s="52"/>
      <c r="E1698" s="52"/>
    </row>
    <row r="1699" spans="4:5" x14ac:dyDescent="0.2">
      <c r="D1699" s="52"/>
      <c r="E1699" s="52"/>
    </row>
    <row r="1700" spans="4:5" x14ac:dyDescent="0.2">
      <c r="D1700" s="52"/>
      <c r="E1700" s="52"/>
    </row>
    <row r="1701" spans="4:5" x14ac:dyDescent="0.2">
      <c r="D1701" s="52"/>
      <c r="E1701" s="52"/>
    </row>
    <row r="1702" spans="4:5" x14ac:dyDescent="0.2">
      <c r="D1702" s="52"/>
      <c r="E1702" s="52"/>
    </row>
    <row r="1703" spans="4:5" x14ac:dyDescent="0.2">
      <c r="D1703" s="52"/>
      <c r="E1703" s="52"/>
    </row>
    <row r="1704" spans="4:5" x14ac:dyDescent="0.2">
      <c r="D1704" s="52"/>
      <c r="E1704" s="52"/>
    </row>
    <row r="1705" spans="4:5" x14ac:dyDescent="0.2">
      <c r="D1705" s="52"/>
      <c r="E1705" s="52"/>
    </row>
    <row r="1706" spans="4:5" x14ac:dyDescent="0.2">
      <c r="D1706" s="52"/>
      <c r="E1706" s="52"/>
    </row>
    <row r="1707" spans="4:5" x14ac:dyDescent="0.2">
      <c r="D1707" s="52"/>
      <c r="E1707" s="52"/>
    </row>
    <row r="1708" spans="4:5" x14ac:dyDescent="0.2">
      <c r="D1708" s="52"/>
      <c r="E1708" s="52"/>
    </row>
    <row r="1709" spans="4:5" x14ac:dyDescent="0.2">
      <c r="D1709" s="52"/>
      <c r="E1709" s="52"/>
    </row>
    <row r="1710" spans="4:5" x14ac:dyDescent="0.2">
      <c r="D1710" s="52"/>
      <c r="E1710" s="52"/>
    </row>
    <row r="1711" spans="4:5" x14ac:dyDescent="0.2">
      <c r="D1711" s="52"/>
      <c r="E1711" s="52"/>
    </row>
    <row r="1712" spans="4:5" x14ac:dyDescent="0.2">
      <c r="D1712" s="52"/>
      <c r="E1712" s="52"/>
    </row>
    <row r="1713" spans="4:5" x14ac:dyDescent="0.2">
      <c r="D1713" s="52"/>
      <c r="E1713" s="52"/>
    </row>
    <row r="1714" spans="4:5" x14ac:dyDescent="0.2">
      <c r="D1714" s="52"/>
      <c r="E1714" s="52"/>
    </row>
    <row r="1715" spans="4:5" x14ac:dyDescent="0.2">
      <c r="D1715" s="52"/>
      <c r="E1715" s="52"/>
    </row>
    <row r="1716" spans="4:5" x14ac:dyDescent="0.2">
      <c r="D1716" s="52"/>
      <c r="E1716" s="52"/>
    </row>
    <row r="1717" spans="4:5" x14ac:dyDescent="0.2">
      <c r="D1717" s="52"/>
      <c r="E1717" s="52"/>
    </row>
    <row r="1718" spans="4:5" x14ac:dyDescent="0.2">
      <c r="D1718" s="52"/>
      <c r="E1718" s="52"/>
    </row>
    <row r="1719" spans="4:5" x14ac:dyDescent="0.2">
      <c r="D1719" s="52"/>
      <c r="E1719" s="52"/>
    </row>
    <row r="1720" spans="4:5" x14ac:dyDescent="0.2">
      <c r="D1720" s="52"/>
      <c r="E1720" s="52"/>
    </row>
    <row r="1721" spans="4:5" x14ac:dyDescent="0.2">
      <c r="D1721" s="52"/>
      <c r="E1721" s="52"/>
    </row>
    <row r="1722" spans="4:5" x14ac:dyDescent="0.2">
      <c r="D1722" s="52"/>
      <c r="E1722" s="52"/>
    </row>
    <row r="1723" spans="4:5" x14ac:dyDescent="0.2">
      <c r="D1723" s="52"/>
      <c r="E1723" s="52"/>
    </row>
    <row r="1724" spans="4:5" x14ac:dyDescent="0.2">
      <c r="D1724" s="52"/>
      <c r="E1724" s="52"/>
    </row>
    <row r="1725" spans="4:5" x14ac:dyDescent="0.2">
      <c r="D1725" s="52"/>
      <c r="E1725" s="52"/>
    </row>
    <row r="1726" spans="4:5" x14ac:dyDescent="0.2">
      <c r="D1726" s="52"/>
      <c r="E1726" s="52"/>
    </row>
    <row r="1727" spans="4:5" x14ac:dyDescent="0.2">
      <c r="D1727" s="52"/>
      <c r="E1727" s="52"/>
    </row>
    <row r="1728" spans="4:5" x14ac:dyDescent="0.2">
      <c r="D1728" s="52"/>
      <c r="E1728" s="52"/>
    </row>
    <row r="1729" spans="4:5" x14ac:dyDescent="0.2">
      <c r="D1729" s="52"/>
      <c r="E1729" s="52"/>
    </row>
    <row r="1730" spans="4:5" x14ac:dyDescent="0.2">
      <c r="D1730" s="52"/>
      <c r="E1730" s="52"/>
    </row>
    <row r="1731" spans="4:5" x14ac:dyDescent="0.2">
      <c r="D1731" s="52"/>
      <c r="E1731" s="52"/>
    </row>
    <row r="1732" spans="4:5" x14ac:dyDescent="0.2">
      <c r="D1732" s="52"/>
      <c r="E1732" s="52"/>
    </row>
    <row r="1733" spans="4:5" x14ac:dyDescent="0.2">
      <c r="D1733" s="52"/>
      <c r="E1733" s="52"/>
    </row>
    <row r="1734" spans="4:5" x14ac:dyDescent="0.2">
      <c r="D1734" s="52"/>
      <c r="E1734" s="52"/>
    </row>
    <row r="1735" spans="4:5" x14ac:dyDescent="0.2">
      <c r="D1735" s="52"/>
      <c r="E1735" s="52"/>
    </row>
    <row r="1736" spans="4:5" x14ac:dyDescent="0.2">
      <c r="D1736" s="52"/>
      <c r="E1736" s="52"/>
    </row>
    <row r="1737" spans="4:5" x14ac:dyDescent="0.2">
      <c r="D1737" s="52"/>
      <c r="E1737" s="52"/>
    </row>
    <row r="1738" spans="4:5" x14ac:dyDescent="0.2">
      <c r="D1738" s="52"/>
      <c r="E1738" s="52"/>
    </row>
    <row r="1739" spans="4:5" x14ac:dyDescent="0.2">
      <c r="D1739" s="52"/>
      <c r="E1739" s="52"/>
    </row>
    <row r="1740" spans="4:5" x14ac:dyDescent="0.2">
      <c r="D1740" s="52"/>
      <c r="E1740" s="52"/>
    </row>
    <row r="1741" spans="4:5" x14ac:dyDescent="0.2">
      <c r="D1741" s="52"/>
      <c r="E1741" s="52"/>
    </row>
    <row r="1742" spans="4:5" x14ac:dyDescent="0.2">
      <c r="D1742" s="52"/>
      <c r="E1742" s="52"/>
    </row>
    <row r="1743" spans="4:5" x14ac:dyDescent="0.2">
      <c r="D1743" s="52"/>
      <c r="E1743" s="52"/>
    </row>
    <row r="1744" spans="4:5" x14ac:dyDescent="0.2">
      <c r="D1744" s="52"/>
      <c r="E1744" s="52"/>
    </row>
    <row r="1745" spans="4:5" x14ac:dyDescent="0.2">
      <c r="D1745" s="52"/>
      <c r="E1745" s="52"/>
    </row>
    <row r="1746" spans="4:5" x14ac:dyDescent="0.2">
      <c r="D1746" s="52"/>
      <c r="E1746" s="52"/>
    </row>
    <row r="1747" spans="4:5" x14ac:dyDescent="0.2">
      <c r="D1747" s="52"/>
      <c r="E1747" s="52"/>
    </row>
    <row r="1748" spans="4:5" x14ac:dyDescent="0.2">
      <c r="D1748" s="52"/>
      <c r="E1748" s="52"/>
    </row>
    <row r="1749" spans="4:5" x14ac:dyDescent="0.2">
      <c r="D1749" s="52"/>
      <c r="E1749" s="52"/>
    </row>
    <row r="1750" spans="4:5" x14ac:dyDescent="0.2">
      <c r="D1750" s="52"/>
      <c r="E1750" s="52"/>
    </row>
    <row r="1751" spans="4:5" x14ac:dyDescent="0.2">
      <c r="D1751" s="52"/>
      <c r="E1751" s="52"/>
    </row>
    <row r="1752" spans="4:5" x14ac:dyDescent="0.2">
      <c r="D1752" s="52"/>
      <c r="E1752" s="52"/>
    </row>
    <row r="1753" spans="4:5" x14ac:dyDescent="0.2">
      <c r="D1753" s="52"/>
      <c r="E1753" s="52"/>
    </row>
    <row r="1754" spans="4:5" x14ac:dyDescent="0.2">
      <c r="D1754" s="52"/>
      <c r="E1754" s="52"/>
    </row>
    <row r="1755" spans="4:5" x14ac:dyDescent="0.2">
      <c r="D1755" s="52"/>
      <c r="E1755" s="52"/>
    </row>
    <row r="1756" spans="4:5" x14ac:dyDescent="0.2">
      <c r="D1756" s="52"/>
      <c r="E1756" s="52"/>
    </row>
    <row r="1757" spans="4:5" x14ac:dyDescent="0.2">
      <c r="D1757" s="52"/>
      <c r="E1757" s="52"/>
    </row>
    <row r="1758" spans="4:5" x14ac:dyDescent="0.2">
      <c r="D1758" s="52"/>
      <c r="E1758" s="52"/>
    </row>
    <row r="1759" spans="4:5" x14ac:dyDescent="0.2">
      <c r="D1759" s="52"/>
      <c r="E1759" s="52"/>
    </row>
    <row r="1760" spans="4:5" x14ac:dyDescent="0.2">
      <c r="D1760" s="52"/>
      <c r="E1760" s="52"/>
    </row>
    <row r="1761" spans="4:5" x14ac:dyDescent="0.2">
      <c r="D1761" s="52"/>
      <c r="E1761" s="52"/>
    </row>
    <row r="1762" spans="4:5" x14ac:dyDescent="0.2">
      <c r="D1762" s="52"/>
      <c r="E1762" s="52"/>
    </row>
    <row r="1763" spans="4:5" x14ac:dyDescent="0.2">
      <c r="D1763" s="52"/>
      <c r="E1763" s="52"/>
    </row>
    <row r="1764" spans="4:5" x14ac:dyDescent="0.2">
      <c r="D1764" s="52"/>
      <c r="E1764" s="52"/>
    </row>
    <row r="1765" spans="4:5" x14ac:dyDescent="0.2">
      <c r="D1765" s="52"/>
      <c r="E1765" s="52"/>
    </row>
    <row r="1766" spans="4:5" x14ac:dyDescent="0.2">
      <c r="D1766" s="52"/>
      <c r="E1766" s="52"/>
    </row>
    <row r="1767" spans="4:5" x14ac:dyDescent="0.2">
      <c r="D1767" s="52"/>
      <c r="E1767" s="52"/>
    </row>
    <row r="1768" spans="4:5" x14ac:dyDescent="0.2">
      <c r="D1768" s="52"/>
      <c r="E1768" s="52"/>
    </row>
    <row r="1769" spans="4:5" x14ac:dyDescent="0.2">
      <c r="D1769" s="52"/>
      <c r="E1769" s="52"/>
    </row>
    <row r="1770" spans="4:5" x14ac:dyDescent="0.2">
      <c r="D1770" s="52"/>
      <c r="E1770" s="52"/>
    </row>
    <row r="1771" spans="4:5" x14ac:dyDescent="0.2">
      <c r="D1771" s="52"/>
      <c r="E1771" s="52"/>
    </row>
    <row r="1772" spans="4:5" x14ac:dyDescent="0.2">
      <c r="D1772" s="52"/>
      <c r="E1772" s="52"/>
    </row>
    <row r="1773" spans="4:5" x14ac:dyDescent="0.2">
      <c r="D1773" s="52"/>
      <c r="E1773" s="52"/>
    </row>
    <row r="1774" spans="4:5" x14ac:dyDescent="0.2">
      <c r="D1774" s="52"/>
      <c r="E1774" s="52"/>
    </row>
    <row r="1775" spans="4:5" x14ac:dyDescent="0.2">
      <c r="D1775" s="52"/>
      <c r="E1775" s="52"/>
    </row>
    <row r="1776" spans="4:5" x14ac:dyDescent="0.2">
      <c r="D1776" s="52"/>
      <c r="E1776" s="52"/>
    </row>
    <row r="1777" spans="4:5" x14ac:dyDescent="0.2">
      <c r="D1777" s="52"/>
      <c r="E1777" s="52"/>
    </row>
    <row r="1778" spans="4:5" x14ac:dyDescent="0.2">
      <c r="D1778" s="52"/>
      <c r="E1778" s="52"/>
    </row>
    <row r="1779" spans="4:5" x14ac:dyDescent="0.2">
      <c r="D1779" s="52"/>
      <c r="E1779" s="52"/>
    </row>
    <row r="1780" spans="4:5" x14ac:dyDescent="0.2">
      <c r="D1780" s="52"/>
      <c r="E1780" s="52"/>
    </row>
    <row r="1781" spans="4:5" x14ac:dyDescent="0.2">
      <c r="D1781" s="52"/>
      <c r="E1781" s="52"/>
    </row>
    <row r="1782" spans="4:5" x14ac:dyDescent="0.2">
      <c r="D1782" s="52"/>
      <c r="E1782" s="52"/>
    </row>
    <row r="1783" spans="4:5" x14ac:dyDescent="0.2">
      <c r="D1783" s="52"/>
      <c r="E1783" s="52"/>
    </row>
    <row r="1784" spans="4:5" x14ac:dyDescent="0.2">
      <c r="D1784" s="52"/>
      <c r="E1784" s="52"/>
    </row>
    <row r="1785" spans="4:5" x14ac:dyDescent="0.2">
      <c r="D1785" s="52"/>
      <c r="E1785" s="52"/>
    </row>
    <row r="1786" spans="4:5" x14ac:dyDescent="0.2">
      <c r="D1786" s="52"/>
      <c r="E1786" s="52"/>
    </row>
    <row r="1787" spans="4:5" x14ac:dyDescent="0.2">
      <c r="D1787" s="52"/>
      <c r="E1787" s="52"/>
    </row>
    <row r="1788" spans="4:5" x14ac:dyDescent="0.2">
      <c r="D1788" s="52"/>
      <c r="E1788" s="52"/>
    </row>
    <row r="1789" spans="4:5" x14ac:dyDescent="0.2">
      <c r="D1789" s="52"/>
      <c r="E1789" s="52"/>
    </row>
    <row r="1790" spans="4:5" x14ac:dyDescent="0.2">
      <c r="D1790" s="52"/>
      <c r="E1790" s="52"/>
    </row>
    <row r="1791" spans="4:5" x14ac:dyDescent="0.2">
      <c r="D1791" s="52"/>
      <c r="E1791" s="52"/>
    </row>
    <row r="1792" spans="4:5" x14ac:dyDescent="0.2">
      <c r="D1792" s="52"/>
      <c r="E1792" s="52"/>
    </row>
    <row r="1793" spans="4:5" x14ac:dyDescent="0.2">
      <c r="D1793" s="52"/>
      <c r="E1793" s="52"/>
    </row>
    <row r="1794" spans="4:5" x14ac:dyDescent="0.2">
      <c r="D1794" s="52"/>
      <c r="E1794" s="52"/>
    </row>
    <row r="1795" spans="4:5" x14ac:dyDescent="0.2">
      <c r="D1795" s="52"/>
      <c r="E1795" s="52"/>
    </row>
    <row r="1796" spans="4:5" x14ac:dyDescent="0.2">
      <c r="D1796" s="52"/>
      <c r="E1796" s="52"/>
    </row>
    <row r="1797" spans="4:5" x14ac:dyDescent="0.2">
      <c r="D1797" s="52"/>
      <c r="E1797" s="52"/>
    </row>
    <row r="1798" spans="4:5" x14ac:dyDescent="0.2">
      <c r="D1798" s="52"/>
      <c r="E1798" s="52"/>
    </row>
    <row r="1799" spans="4:5" x14ac:dyDescent="0.2">
      <c r="D1799" s="52"/>
      <c r="E1799" s="52"/>
    </row>
    <row r="1800" spans="4:5" x14ac:dyDescent="0.2">
      <c r="D1800" s="52"/>
      <c r="E1800" s="52"/>
    </row>
    <row r="1801" spans="4:5" x14ac:dyDescent="0.2">
      <c r="D1801" s="52"/>
      <c r="E1801" s="52"/>
    </row>
    <row r="1802" spans="4:5" x14ac:dyDescent="0.2">
      <c r="D1802" s="52"/>
      <c r="E1802" s="52"/>
    </row>
    <row r="1803" spans="4:5" x14ac:dyDescent="0.2">
      <c r="D1803" s="52"/>
      <c r="E1803" s="52"/>
    </row>
    <row r="1804" spans="4:5" x14ac:dyDescent="0.2">
      <c r="D1804" s="52"/>
      <c r="E1804" s="52"/>
    </row>
    <row r="1805" spans="4:5" x14ac:dyDescent="0.2">
      <c r="D1805" s="52"/>
      <c r="E1805" s="52"/>
    </row>
    <row r="1806" spans="4:5" x14ac:dyDescent="0.2">
      <c r="D1806" s="52"/>
      <c r="E1806" s="52"/>
    </row>
    <row r="1807" spans="4:5" x14ac:dyDescent="0.2">
      <c r="D1807" s="52"/>
      <c r="E1807" s="52"/>
    </row>
    <row r="1808" spans="4:5" x14ac:dyDescent="0.2">
      <c r="D1808" s="52"/>
      <c r="E1808" s="52"/>
    </row>
    <row r="1809" spans="4:5" x14ac:dyDescent="0.2">
      <c r="D1809" s="52"/>
      <c r="E1809" s="52"/>
    </row>
    <row r="1810" spans="4:5" x14ac:dyDescent="0.2">
      <c r="D1810" s="52"/>
      <c r="E1810" s="52"/>
    </row>
    <row r="1811" spans="4:5" x14ac:dyDescent="0.2">
      <c r="D1811" s="52"/>
      <c r="E1811" s="52"/>
    </row>
    <row r="1812" spans="4:5" x14ac:dyDescent="0.2">
      <c r="D1812" s="52"/>
      <c r="E1812" s="52"/>
    </row>
    <row r="1813" spans="4:5" x14ac:dyDescent="0.2">
      <c r="D1813" s="52"/>
      <c r="E1813" s="52"/>
    </row>
    <row r="1814" spans="4:5" x14ac:dyDescent="0.2">
      <c r="D1814" s="52"/>
      <c r="E1814" s="52"/>
    </row>
    <row r="1815" spans="4:5" x14ac:dyDescent="0.2">
      <c r="D1815" s="52"/>
      <c r="E1815" s="52"/>
    </row>
    <row r="1816" spans="4:5" x14ac:dyDescent="0.2">
      <c r="D1816" s="52"/>
      <c r="E1816" s="52"/>
    </row>
    <row r="1817" spans="4:5" x14ac:dyDescent="0.2">
      <c r="D1817" s="52"/>
      <c r="E1817" s="52"/>
    </row>
    <row r="1818" spans="4:5" x14ac:dyDescent="0.2">
      <c r="D1818" s="52"/>
      <c r="E1818" s="52"/>
    </row>
    <row r="1819" spans="4:5" x14ac:dyDescent="0.2">
      <c r="D1819" s="52"/>
      <c r="E1819" s="52"/>
    </row>
    <row r="1820" spans="4:5" x14ac:dyDescent="0.2">
      <c r="D1820" s="52"/>
      <c r="E1820" s="52"/>
    </row>
    <row r="1821" spans="4:5" x14ac:dyDescent="0.2">
      <c r="D1821" s="52"/>
      <c r="E1821" s="52"/>
    </row>
    <row r="1822" spans="4:5" x14ac:dyDescent="0.2">
      <c r="D1822" s="52"/>
      <c r="E1822" s="52"/>
    </row>
    <row r="1823" spans="4:5" x14ac:dyDescent="0.2">
      <c r="D1823" s="52"/>
      <c r="E1823" s="52"/>
    </row>
    <row r="1824" spans="4:5" x14ac:dyDescent="0.2">
      <c r="D1824" s="52"/>
      <c r="E1824" s="52"/>
    </row>
    <row r="1825" spans="4:5" x14ac:dyDescent="0.2">
      <c r="D1825" s="52"/>
      <c r="E1825" s="52"/>
    </row>
    <row r="1826" spans="4:5" x14ac:dyDescent="0.2">
      <c r="D1826" s="52"/>
      <c r="E1826" s="52"/>
    </row>
    <row r="1827" spans="4:5" x14ac:dyDescent="0.2">
      <c r="D1827" s="52"/>
      <c r="E1827" s="52"/>
    </row>
    <row r="1828" spans="4:5" x14ac:dyDescent="0.2">
      <c r="D1828" s="52"/>
      <c r="E1828" s="52"/>
    </row>
    <row r="1829" spans="4:5" x14ac:dyDescent="0.2">
      <c r="D1829" s="52"/>
      <c r="E1829" s="52"/>
    </row>
    <row r="1830" spans="4:5" x14ac:dyDescent="0.2">
      <c r="D1830" s="52"/>
      <c r="E1830" s="52"/>
    </row>
    <row r="1831" spans="4:5" x14ac:dyDescent="0.2">
      <c r="D1831" s="52"/>
      <c r="E1831" s="52"/>
    </row>
    <row r="1832" spans="4:5" x14ac:dyDescent="0.2">
      <c r="D1832" s="52"/>
      <c r="E1832" s="52"/>
    </row>
    <row r="1833" spans="4:5" x14ac:dyDescent="0.2">
      <c r="D1833" s="52"/>
      <c r="E1833" s="52"/>
    </row>
    <row r="1834" spans="4:5" x14ac:dyDescent="0.2">
      <c r="D1834" s="52"/>
      <c r="E1834" s="52"/>
    </row>
    <row r="1835" spans="4:5" x14ac:dyDescent="0.2">
      <c r="D1835" s="52"/>
      <c r="E1835" s="52"/>
    </row>
    <row r="1836" spans="4:5" x14ac:dyDescent="0.2">
      <c r="D1836" s="52"/>
      <c r="E1836" s="52"/>
    </row>
    <row r="1837" spans="4:5" x14ac:dyDescent="0.2">
      <c r="D1837" s="52"/>
      <c r="E1837" s="52"/>
    </row>
    <row r="1838" spans="4:5" x14ac:dyDescent="0.2">
      <c r="D1838" s="52"/>
      <c r="E1838" s="52"/>
    </row>
    <row r="1839" spans="4:5" x14ac:dyDescent="0.2">
      <c r="D1839" s="52"/>
      <c r="E1839" s="52"/>
    </row>
    <row r="1840" spans="4:5" x14ac:dyDescent="0.2">
      <c r="D1840" s="52"/>
      <c r="E1840" s="52"/>
    </row>
    <row r="1841" spans="4:5" x14ac:dyDescent="0.2">
      <c r="D1841" s="52"/>
      <c r="E1841" s="52"/>
    </row>
    <row r="1842" spans="4:5" x14ac:dyDescent="0.2">
      <c r="D1842" s="52"/>
      <c r="E1842" s="52"/>
    </row>
    <row r="1843" spans="4:5" x14ac:dyDescent="0.2">
      <c r="D1843" s="52"/>
      <c r="E1843" s="52"/>
    </row>
    <row r="1844" spans="4:5" x14ac:dyDescent="0.2">
      <c r="D1844" s="52"/>
      <c r="E1844" s="52"/>
    </row>
    <row r="1845" spans="4:5" x14ac:dyDescent="0.2">
      <c r="D1845" s="52"/>
      <c r="E1845" s="52"/>
    </row>
    <row r="1846" spans="4:5" x14ac:dyDescent="0.2">
      <c r="D1846" s="52"/>
      <c r="E1846" s="52"/>
    </row>
    <row r="1847" spans="4:5" x14ac:dyDescent="0.2">
      <c r="D1847" s="52"/>
      <c r="E1847" s="52"/>
    </row>
    <row r="1848" spans="4:5" x14ac:dyDescent="0.2">
      <c r="D1848" s="52"/>
      <c r="E1848" s="52"/>
    </row>
    <row r="1849" spans="4:5" x14ac:dyDescent="0.2">
      <c r="D1849" s="52"/>
      <c r="E1849" s="52"/>
    </row>
    <row r="1850" spans="4:5" x14ac:dyDescent="0.2">
      <c r="D1850" s="52"/>
      <c r="E1850" s="52"/>
    </row>
    <row r="1851" spans="4:5" x14ac:dyDescent="0.2">
      <c r="D1851" s="52"/>
      <c r="E1851" s="52"/>
    </row>
    <row r="1852" spans="4:5" x14ac:dyDescent="0.2">
      <c r="D1852" s="52"/>
      <c r="E1852" s="52"/>
    </row>
    <row r="1853" spans="4:5" x14ac:dyDescent="0.2">
      <c r="D1853" s="52"/>
      <c r="E1853" s="52"/>
    </row>
    <row r="1854" spans="4:5" x14ac:dyDescent="0.2">
      <c r="D1854" s="52"/>
      <c r="E1854" s="52"/>
    </row>
    <row r="1855" spans="4:5" x14ac:dyDescent="0.2">
      <c r="D1855" s="52"/>
      <c r="E1855" s="52"/>
    </row>
    <row r="1856" spans="4:5" x14ac:dyDescent="0.2">
      <c r="D1856" s="52"/>
      <c r="E1856" s="52"/>
    </row>
    <row r="1857" spans="4:5" x14ac:dyDescent="0.2">
      <c r="D1857" s="52"/>
      <c r="E1857" s="52"/>
    </row>
    <row r="1858" spans="4:5" x14ac:dyDescent="0.2">
      <c r="D1858" s="52"/>
      <c r="E1858" s="52"/>
    </row>
    <row r="1859" spans="4:5" x14ac:dyDescent="0.2">
      <c r="D1859" s="52"/>
      <c r="E1859" s="52"/>
    </row>
    <row r="1860" spans="4:5" x14ac:dyDescent="0.2">
      <c r="D1860" s="52"/>
      <c r="E1860" s="52"/>
    </row>
    <row r="1861" spans="4:5" x14ac:dyDescent="0.2">
      <c r="D1861" s="52"/>
      <c r="E1861" s="52"/>
    </row>
    <row r="1862" spans="4:5" x14ac:dyDescent="0.2">
      <c r="D1862" s="52"/>
      <c r="E1862" s="52"/>
    </row>
    <row r="1863" spans="4:5" x14ac:dyDescent="0.2">
      <c r="D1863" s="52"/>
      <c r="E1863" s="52"/>
    </row>
    <row r="1864" spans="4:5" x14ac:dyDescent="0.2">
      <c r="D1864" s="52"/>
      <c r="E1864" s="52"/>
    </row>
    <row r="1865" spans="4:5" x14ac:dyDescent="0.2">
      <c r="D1865" s="52"/>
      <c r="E1865" s="52"/>
    </row>
    <row r="1866" spans="4:5" x14ac:dyDescent="0.2">
      <c r="D1866" s="52"/>
      <c r="E1866" s="52"/>
    </row>
    <row r="1867" spans="4:5" x14ac:dyDescent="0.2">
      <c r="D1867" s="52"/>
      <c r="E1867" s="52"/>
    </row>
    <row r="1868" spans="4:5" x14ac:dyDescent="0.2">
      <c r="D1868" s="52"/>
      <c r="E1868" s="52"/>
    </row>
    <row r="1869" spans="4:5" x14ac:dyDescent="0.2">
      <c r="D1869" s="52"/>
      <c r="E1869" s="52"/>
    </row>
    <row r="1870" spans="4:5" x14ac:dyDescent="0.2">
      <c r="D1870" s="52"/>
      <c r="E1870" s="52"/>
    </row>
    <row r="1871" spans="4:5" x14ac:dyDescent="0.2">
      <c r="D1871" s="52"/>
      <c r="E1871" s="52"/>
    </row>
    <row r="1872" spans="4:5" x14ac:dyDescent="0.2">
      <c r="D1872" s="52"/>
      <c r="E1872" s="52"/>
    </row>
    <row r="1873" spans="4:5" x14ac:dyDescent="0.2">
      <c r="D1873" s="52"/>
      <c r="E1873" s="52"/>
    </row>
    <row r="1874" spans="4:5" x14ac:dyDescent="0.2">
      <c r="D1874" s="52"/>
      <c r="E1874" s="52"/>
    </row>
    <row r="1875" spans="4:5" x14ac:dyDescent="0.2">
      <c r="D1875" s="52"/>
      <c r="E1875" s="52"/>
    </row>
    <row r="1876" spans="4:5" x14ac:dyDescent="0.2">
      <c r="D1876" s="52"/>
      <c r="E1876" s="52"/>
    </row>
    <row r="1877" spans="4:5" x14ac:dyDescent="0.2">
      <c r="D1877" s="52"/>
      <c r="E1877" s="52"/>
    </row>
    <row r="1878" spans="4:5" x14ac:dyDescent="0.2">
      <c r="D1878" s="52"/>
      <c r="E1878" s="52"/>
    </row>
    <row r="1879" spans="4:5" x14ac:dyDescent="0.2">
      <c r="D1879" s="52"/>
      <c r="E1879" s="52"/>
    </row>
    <row r="1880" spans="4:5" x14ac:dyDescent="0.2">
      <c r="D1880" s="52"/>
      <c r="E1880" s="52"/>
    </row>
    <row r="1881" spans="4:5" x14ac:dyDescent="0.2">
      <c r="D1881" s="52"/>
      <c r="E1881" s="52"/>
    </row>
    <row r="1882" spans="4:5" x14ac:dyDescent="0.2">
      <c r="D1882" s="52"/>
      <c r="E1882" s="52"/>
    </row>
    <row r="1883" spans="4:5" x14ac:dyDescent="0.2">
      <c r="D1883" s="52"/>
      <c r="E1883" s="52"/>
    </row>
    <row r="1884" spans="4:5" x14ac:dyDescent="0.2">
      <c r="D1884" s="52"/>
      <c r="E1884" s="52"/>
    </row>
    <row r="1885" spans="4:5" x14ac:dyDescent="0.2">
      <c r="D1885" s="52"/>
      <c r="E1885" s="52"/>
    </row>
    <row r="1886" spans="4:5" x14ac:dyDescent="0.2">
      <c r="D1886" s="52"/>
      <c r="E1886" s="52"/>
    </row>
    <row r="1887" spans="4:5" x14ac:dyDescent="0.2">
      <c r="D1887" s="52"/>
      <c r="E1887" s="52"/>
    </row>
    <row r="1888" spans="4:5" x14ac:dyDescent="0.2">
      <c r="D1888" s="52"/>
      <c r="E1888" s="52"/>
    </row>
    <row r="1889" spans="4:5" x14ac:dyDescent="0.2">
      <c r="D1889" s="52"/>
      <c r="E1889" s="52"/>
    </row>
    <row r="1890" spans="4:5" x14ac:dyDescent="0.2">
      <c r="D1890" s="52"/>
      <c r="E1890" s="52"/>
    </row>
    <row r="1891" spans="4:5" x14ac:dyDescent="0.2">
      <c r="D1891" s="52"/>
      <c r="E1891" s="52"/>
    </row>
    <row r="1892" spans="4:5" x14ac:dyDescent="0.2">
      <c r="D1892" s="52"/>
      <c r="E1892" s="52"/>
    </row>
    <row r="1893" spans="4:5" x14ac:dyDescent="0.2">
      <c r="D1893" s="52"/>
      <c r="E1893" s="52"/>
    </row>
    <row r="1894" spans="4:5" x14ac:dyDescent="0.2">
      <c r="D1894" s="52"/>
      <c r="E1894" s="52"/>
    </row>
    <row r="1895" spans="4:5" x14ac:dyDescent="0.2">
      <c r="D1895" s="52"/>
      <c r="E1895" s="52"/>
    </row>
    <row r="1896" spans="4:5" x14ac:dyDescent="0.2">
      <c r="D1896" s="52"/>
      <c r="E1896" s="52"/>
    </row>
    <row r="1897" spans="4:5" x14ac:dyDescent="0.2">
      <c r="D1897" s="52"/>
      <c r="E1897" s="52"/>
    </row>
    <row r="1898" spans="4:5" x14ac:dyDescent="0.2">
      <c r="D1898" s="52"/>
      <c r="E1898" s="52"/>
    </row>
    <row r="1899" spans="4:5" x14ac:dyDescent="0.2">
      <c r="D1899" s="52"/>
      <c r="E1899" s="52"/>
    </row>
    <row r="1900" spans="4:5" x14ac:dyDescent="0.2">
      <c r="D1900" s="52"/>
      <c r="E1900" s="52"/>
    </row>
    <row r="1901" spans="4:5" x14ac:dyDescent="0.2">
      <c r="D1901" s="52"/>
      <c r="E1901" s="52"/>
    </row>
    <row r="1902" spans="4:5" x14ac:dyDescent="0.2">
      <c r="D1902" s="52"/>
      <c r="E1902" s="52"/>
    </row>
    <row r="1903" spans="4:5" x14ac:dyDescent="0.2">
      <c r="D1903" s="52"/>
      <c r="E1903" s="52"/>
    </row>
    <row r="1904" spans="4:5" x14ac:dyDescent="0.2">
      <c r="D1904" s="52"/>
      <c r="E1904" s="52"/>
    </row>
    <row r="1905" spans="4:5" x14ac:dyDescent="0.2">
      <c r="D1905" s="52"/>
      <c r="E1905" s="52"/>
    </row>
    <row r="1906" spans="4:5" x14ac:dyDescent="0.2">
      <c r="D1906" s="52"/>
      <c r="E1906" s="52"/>
    </row>
    <row r="1907" spans="4:5" x14ac:dyDescent="0.2">
      <c r="D1907" s="52"/>
      <c r="E1907" s="52"/>
    </row>
    <row r="1908" spans="4:5" x14ac:dyDescent="0.2">
      <c r="D1908" s="52"/>
      <c r="E1908" s="52"/>
    </row>
    <row r="1909" spans="4:5" x14ac:dyDescent="0.2">
      <c r="D1909" s="52"/>
      <c r="E1909" s="52"/>
    </row>
    <row r="1910" spans="4:5" x14ac:dyDescent="0.2">
      <c r="D1910" s="52"/>
      <c r="E1910" s="52"/>
    </row>
    <row r="1911" spans="4:5" x14ac:dyDescent="0.2">
      <c r="D1911" s="52"/>
      <c r="E1911" s="52"/>
    </row>
    <row r="1912" spans="4:5" x14ac:dyDescent="0.2">
      <c r="D1912" s="52"/>
      <c r="E1912" s="52"/>
    </row>
    <row r="1913" spans="4:5" x14ac:dyDescent="0.2">
      <c r="D1913" s="52"/>
      <c r="E1913" s="52"/>
    </row>
    <row r="1914" spans="4:5" x14ac:dyDescent="0.2">
      <c r="D1914" s="52"/>
      <c r="E1914" s="52"/>
    </row>
    <row r="1915" spans="4:5" x14ac:dyDescent="0.2">
      <c r="D1915" s="52"/>
      <c r="E1915" s="52"/>
    </row>
    <row r="1916" spans="4:5" x14ac:dyDescent="0.2">
      <c r="D1916" s="52"/>
      <c r="E1916" s="52"/>
    </row>
    <row r="1917" spans="4:5" x14ac:dyDescent="0.2">
      <c r="D1917" s="52"/>
      <c r="E1917" s="52"/>
    </row>
    <row r="1918" spans="4:5" x14ac:dyDescent="0.2">
      <c r="D1918" s="52"/>
      <c r="E1918" s="52"/>
    </row>
    <row r="1919" spans="4:5" x14ac:dyDescent="0.2">
      <c r="D1919" s="52"/>
      <c r="E1919" s="52"/>
    </row>
    <row r="1920" spans="4:5" x14ac:dyDescent="0.2">
      <c r="D1920" s="52"/>
      <c r="E1920" s="52"/>
    </row>
    <row r="1921" spans="4:5" x14ac:dyDescent="0.2">
      <c r="D1921" s="52"/>
      <c r="E1921" s="52"/>
    </row>
    <row r="1922" spans="4:5" x14ac:dyDescent="0.2">
      <c r="D1922" s="52"/>
      <c r="E1922" s="52"/>
    </row>
    <row r="1923" spans="4:5" x14ac:dyDescent="0.2">
      <c r="D1923" s="52"/>
      <c r="E1923" s="52"/>
    </row>
    <row r="1924" spans="4:5" x14ac:dyDescent="0.2">
      <c r="D1924" s="52"/>
      <c r="E1924" s="52"/>
    </row>
    <row r="1925" spans="4:5" x14ac:dyDescent="0.2">
      <c r="D1925" s="52"/>
      <c r="E1925" s="52"/>
    </row>
    <row r="1926" spans="4:5" x14ac:dyDescent="0.2">
      <c r="D1926" s="52"/>
      <c r="E1926" s="52"/>
    </row>
    <row r="1927" spans="4:5" x14ac:dyDescent="0.2">
      <c r="D1927" s="52"/>
      <c r="E1927" s="52"/>
    </row>
    <row r="1928" spans="4:5" x14ac:dyDescent="0.2">
      <c r="D1928" s="52"/>
      <c r="E1928" s="52"/>
    </row>
    <row r="1929" spans="4:5" x14ac:dyDescent="0.2">
      <c r="D1929" s="52"/>
      <c r="E1929" s="52"/>
    </row>
    <row r="1930" spans="4:5" x14ac:dyDescent="0.2">
      <c r="D1930" s="52"/>
      <c r="E1930" s="52"/>
    </row>
    <row r="1931" spans="4:5" x14ac:dyDescent="0.2">
      <c r="D1931" s="52"/>
      <c r="E1931" s="52"/>
    </row>
    <row r="1932" spans="4:5" x14ac:dyDescent="0.2">
      <c r="D1932" s="52"/>
      <c r="E1932" s="52"/>
    </row>
    <row r="1933" spans="4:5" x14ac:dyDescent="0.2">
      <c r="D1933" s="52"/>
      <c r="E1933" s="52"/>
    </row>
    <row r="1934" spans="4:5" x14ac:dyDescent="0.2">
      <c r="D1934" s="52"/>
      <c r="E1934" s="52"/>
    </row>
    <row r="1935" spans="4:5" x14ac:dyDescent="0.2">
      <c r="D1935" s="52"/>
      <c r="E1935" s="52"/>
    </row>
    <row r="1936" spans="4:5" x14ac:dyDescent="0.2">
      <c r="D1936" s="52"/>
      <c r="E1936" s="52"/>
    </row>
    <row r="1937" spans="4:5" x14ac:dyDescent="0.2">
      <c r="D1937" s="52"/>
      <c r="E1937" s="52"/>
    </row>
    <row r="1938" spans="4:5" x14ac:dyDescent="0.2">
      <c r="D1938" s="52"/>
      <c r="E1938" s="52"/>
    </row>
    <row r="1939" spans="4:5" x14ac:dyDescent="0.2">
      <c r="D1939" s="52"/>
      <c r="E1939" s="52"/>
    </row>
    <row r="1940" spans="4:5" x14ac:dyDescent="0.2">
      <c r="D1940" s="52"/>
      <c r="E1940" s="52"/>
    </row>
    <row r="1941" spans="4:5" x14ac:dyDescent="0.2">
      <c r="D1941" s="52"/>
      <c r="E1941" s="52"/>
    </row>
    <row r="1942" spans="4:5" x14ac:dyDescent="0.2">
      <c r="D1942" s="52"/>
      <c r="E1942" s="52"/>
    </row>
    <row r="1943" spans="4:5" x14ac:dyDescent="0.2">
      <c r="D1943" s="52"/>
      <c r="E1943" s="52"/>
    </row>
    <row r="1944" spans="4:5" x14ac:dyDescent="0.2">
      <c r="D1944" s="52"/>
      <c r="E1944" s="52"/>
    </row>
    <row r="1945" spans="4:5" x14ac:dyDescent="0.2">
      <c r="D1945" s="52"/>
      <c r="E1945" s="52"/>
    </row>
    <row r="1946" spans="4:5" x14ac:dyDescent="0.2">
      <c r="D1946" s="52"/>
      <c r="E1946" s="52"/>
    </row>
    <row r="1947" spans="4:5" x14ac:dyDescent="0.2">
      <c r="D1947" s="52"/>
      <c r="E1947" s="52"/>
    </row>
    <row r="1948" spans="4:5" x14ac:dyDescent="0.2">
      <c r="D1948" s="52"/>
      <c r="E1948" s="52"/>
    </row>
    <row r="1949" spans="4:5" x14ac:dyDescent="0.2">
      <c r="D1949" s="52"/>
      <c r="E1949" s="52"/>
    </row>
    <row r="1950" spans="4:5" x14ac:dyDescent="0.2">
      <c r="D1950" s="52"/>
      <c r="E1950" s="52"/>
    </row>
    <row r="1951" spans="4:5" x14ac:dyDescent="0.2">
      <c r="D1951" s="52"/>
      <c r="E1951" s="52"/>
    </row>
    <row r="1952" spans="4:5" x14ac:dyDescent="0.2">
      <c r="D1952" s="52"/>
      <c r="E1952" s="52"/>
    </row>
    <row r="1953" spans="4:5" x14ac:dyDescent="0.2">
      <c r="D1953" s="52"/>
      <c r="E1953" s="52"/>
    </row>
    <row r="1954" spans="4:5" x14ac:dyDescent="0.2">
      <c r="D1954" s="52"/>
      <c r="E1954" s="52"/>
    </row>
    <row r="1955" spans="4:5" x14ac:dyDescent="0.2">
      <c r="D1955" s="52"/>
      <c r="E1955" s="52"/>
    </row>
    <row r="1956" spans="4:5" x14ac:dyDescent="0.2">
      <c r="D1956" s="52"/>
      <c r="E1956" s="52"/>
    </row>
    <row r="1957" spans="4:5" x14ac:dyDescent="0.2">
      <c r="D1957" s="52"/>
      <c r="E1957" s="52"/>
    </row>
    <row r="1958" spans="4:5" x14ac:dyDescent="0.2">
      <c r="D1958" s="52"/>
      <c r="E1958" s="52"/>
    </row>
    <row r="1959" spans="4:5" x14ac:dyDescent="0.2">
      <c r="D1959" s="52"/>
      <c r="E1959" s="52"/>
    </row>
    <row r="1960" spans="4:5" x14ac:dyDescent="0.2">
      <c r="D1960" s="52"/>
      <c r="E1960" s="52"/>
    </row>
    <row r="1961" spans="4:5" x14ac:dyDescent="0.2">
      <c r="D1961" s="52"/>
      <c r="E1961" s="52"/>
    </row>
    <row r="1962" spans="4:5" x14ac:dyDescent="0.2">
      <c r="D1962" s="52"/>
      <c r="E1962" s="52"/>
    </row>
    <row r="1963" spans="4:5" x14ac:dyDescent="0.2">
      <c r="D1963" s="52"/>
      <c r="E1963" s="52"/>
    </row>
    <row r="1964" spans="4:5" x14ac:dyDescent="0.2">
      <c r="D1964" s="52"/>
      <c r="E1964" s="52"/>
    </row>
    <row r="1965" spans="4:5" x14ac:dyDescent="0.2">
      <c r="D1965" s="52"/>
      <c r="E1965" s="52"/>
    </row>
    <row r="1966" spans="4:5" x14ac:dyDescent="0.2">
      <c r="D1966" s="52"/>
      <c r="E1966" s="52"/>
    </row>
    <row r="1967" spans="4:5" x14ac:dyDescent="0.2">
      <c r="D1967" s="52"/>
      <c r="E1967" s="52"/>
    </row>
    <row r="1968" spans="4:5" x14ac:dyDescent="0.2">
      <c r="D1968" s="52"/>
      <c r="E1968" s="52"/>
    </row>
    <row r="1969" spans="4:5" x14ac:dyDescent="0.2">
      <c r="D1969" s="52"/>
      <c r="E1969" s="52"/>
    </row>
    <row r="1970" spans="4:5" x14ac:dyDescent="0.2">
      <c r="D1970" s="52"/>
      <c r="E1970" s="52"/>
    </row>
    <row r="1971" spans="4:5" x14ac:dyDescent="0.2">
      <c r="D1971" s="52"/>
      <c r="E1971" s="52"/>
    </row>
    <row r="1972" spans="4:5" x14ac:dyDescent="0.2">
      <c r="D1972" s="52"/>
      <c r="E1972" s="52"/>
    </row>
    <row r="1973" spans="4:5" x14ac:dyDescent="0.2">
      <c r="D1973" s="52"/>
      <c r="E1973" s="52"/>
    </row>
    <row r="1974" spans="4:5" x14ac:dyDescent="0.2">
      <c r="D1974" s="52"/>
      <c r="E1974" s="52"/>
    </row>
    <row r="1975" spans="4:5" x14ac:dyDescent="0.2">
      <c r="D1975" s="52"/>
      <c r="E1975" s="52"/>
    </row>
    <row r="1976" spans="4:5" x14ac:dyDescent="0.2">
      <c r="D1976" s="52"/>
      <c r="E1976" s="52"/>
    </row>
    <row r="1977" spans="4:5" x14ac:dyDescent="0.2">
      <c r="D1977" s="52"/>
      <c r="E1977" s="52"/>
    </row>
    <row r="1978" spans="4:5" x14ac:dyDescent="0.2">
      <c r="D1978" s="52"/>
      <c r="E1978" s="52"/>
    </row>
    <row r="1979" spans="4:5" x14ac:dyDescent="0.2">
      <c r="D1979" s="52"/>
      <c r="E1979" s="52"/>
    </row>
    <row r="1980" spans="4:5" x14ac:dyDescent="0.2">
      <c r="D1980" s="52"/>
      <c r="E1980" s="52"/>
    </row>
    <row r="1981" spans="4:5" x14ac:dyDescent="0.2">
      <c r="D1981" s="52"/>
      <c r="E1981" s="52"/>
    </row>
    <row r="1982" spans="4:5" x14ac:dyDescent="0.2">
      <c r="D1982" s="52"/>
      <c r="E1982" s="52"/>
    </row>
    <row r="1983" spans="4:5" x14ac:dyDescent="0.2">
      <c r="D1983" s="52"/>
      <c r="E1983" s="52"/>
    </row>
    <row r="1984" spans="4:5" x14ac:dyDescent="0.2">
      <c r="D1984" s="52"/>
      <c r="E1984" s="52"/>
    </row>
    <row r="1985" spans="4:5" x14ac:dyDescent="0.2">
      <c r="D1985" s="52"/>
      <c r="E1985" s="52"/>
    </row>
    <row r="1986" spans="4:5" x14ac:dyDescent="0.2">
      <c r="D1986" s="52"/>
      <c r="E1986" s="52"/>
    </row>
    <row r="1987" spans="4:5" x14ac:dyDescent="0.2">
      <c r="D1987" s="52"/>
      <c r="E1987" s="52"/>
    </row>
    <row r="1988" spans="4:5" x14ac:dyDescent="0.2">
      <c r="D1988" s="52"/>
      <c r="E1988" s="52"/>
    </row>
    <row r="1989" spans="4:5" x14ac:dyDescent="0.2">
      <c r="D1989" s="52"/>
      <c r="E1989" s="52"/>
    </row>
    <row r="1990" spans="4:5" x14ac:dyDescent="0.2">
      <c r="D1990" s="52"/>
      <c r="E1990" s="52"/>
    </row>
    <row r="1991" spans="4:5" x14ac:dyDescent="0.2">
      <c r="D1991" s="52"/>
      <c r="E1991" s="52"/>
    </row>
    <row r="1992" spans="4:5" x14ac:dyDescent="0.2">
      <c r="D1992" s="52"/>
      <c r="E1992" s="52"/>
    </row>
    <row r="1993" spans="4:5" x14ac:dyDescent="0.2">
      <c r="D1993" s="52"/>
      <c r="E1993" s="52"/>
    </row>
    <row r="1994" spans="4:5" x14ac:dyDescent="0.2">
      <c r="D1994" s="52"/>
      <c r="E1994" s="52"/>
    </row>
    <row r="1995" spans="4:5" x14ac:dyDescent="0.2">
      <c r="D1995" s="52"/>
      <c r="E1995" s="52"/>
    </row>
    <row r="1996" spans="4:5" x14ac:dyDescent="0.2">
      <c r="D1996" s="52"/>
      <c r="E1996" s="52"/>
    </row>
    <row r="1997" spans="4:5" x14ac:dyDescent="0.2">
      <c r="D1997" s="52"/>
      <c r="E1997" s="52"/>
    </row>
    <row r="1998" spans="4:5" x14ac:dyDescent="0.2">
      <c r="D1998" s="52"/>
      <c r="E1998" s="52"/>
    </row>
    <row r="1999" spans="4:5" x14ac:dyDescent="0.2">
      <c r="D1999" s="52"/>
      <c r="E1999" s="52"/>
    </row>
    <row r="2000" spans="4:5" x14ac:dyDescent="0.2">
      <c r="D2000" s="52"/>
      <c r="E2000" s="52"/>
    </row>
    <row r="2001" spans="4:5" x14ac:dyDescent="0.2">
      <c r="D2001" s="52"/>
      <c r="E2001" s="52"/>
    </row>
    <row r="2002" spans="4:5" x14ac:dyDescent="0.2">
      <c r="D2002" s="52"/>
      <c r="E2002" s="52"/>
    </row>
    <row r="2003" spans="4:5" x14ac:dyDescent="0.2">
      <c r="D2003" s="52"/>
      <c r="E2003" s="52"/>
    </row>
    <row r="2004" spans="4:5" x14ac:dyDescent="0.2">
      <c r="D2004" s="52"/>
      <c r="E2004" s="52"/>
    </row>
    <row r="2005" spans="4:5" x14ac:dyDescent="0.2">
      <c r="D2005" s="52"/>
      <c r="E2005" s="52"/>
    </row>
    <row r="2006" spans="4:5" x14ac:dyDescent="0.2">
      <c r="D2006" s="52"/>
      <c r="E2006" s="52"/>
    </row>
    <row r="2007" spans="4:5" x14ac:dyDescent="0.2">
      <c r="D2007" s="52"/>
      <c r="E2007" s="52"/>
    </row>
    <row r="2008" spans="4:5" x14ac:dyDescent="0.2">
      <c r="D2008" s="52"/>
      <c r="E2008" s="52"/>
    </row>
    <row r="2009" spans="4:5" x14ac:dyDescent="0.2">
      <c r="D2009" s="52"/>
      <c r="E2009" s="52"/>
    </row>
    <row r="2010" spans="4:5" x14ac:dyDescent="0.2">
      <c r="D2010" s="52"/>
      <c r="E2010" s="52"/>
    </row>
    <row r="2011" spans="4:5" x14ac:dyDescent="0.2">
      <c r="D2011" s="52"/>
      <c r="E2011" s="52"/>
    </row>
    <row r="2012" spans="4:5" x14ac:dyDescent="0.2">
      <c r="D2012" s="52"/>
      <c r="E2012" s="52"/>
    </row>
    <row r="2013" spans="4:5" x14ac:dyDescent="0.2">
      <c r="D2013" s="52"/>
      <c r="E2013" s="52"/>
    </row>
    <row r="2014" spans="4:5" x14ac:dyDescent="0.2">
      <c r="D2014" s="52"/>
      <c r="E2014" s="52"/>
    </row>
    <row r="2015" spans="4:5" x14ac:dyDescent="0.2">
      <c r="D2015" s="52"/>
      <c r="E2015" s="52"/>
    </row>
    <row r="2016" spans="4:5" x14ac:dyDescent="0.2">
      <c r="D2016" s="52"/>
      <c r="E2016" s="52"/>
    </row>
    <row r="2017" spans="4:5" x14ac:dyDescent="0.2">
      <c r="D2017" s="52"/>
      <c r="E2017" s="52"/>
    </row>
    <row r="2018" spans="4:5" x14ac:dyDescent="0.2">
      <c r="D2018" s="52"/>
      <c r="E2018" s="52"/>
    </row>
    <row r="2019" spans="4:5" x14ac:dyDescent="0.2">
      <c r="D2019" s="52"/>
      <c r="E2019" s="52"/>
    </row>
    <row r="2020" spans="4:5" x14ac:dyDescent="0.2">
      <c r="D2020" s="52"/>
      <c r="E2020" s="52"/>
    </row>
    <row r="2021" spans="4:5" x14ac:dyDescent="0.2">
      <c r="D2021" s="52"/>
      <c r="E2021" s="52"/>
    </row>
    <row r="2022" spans="4:5" x14ac:dyDescent="0.2">
      <c r="D2022" s="52"/>
      <c r="E2022" s="52"/>
    </row>
    <row r="2023" spans="4:5" x14ac:dyDescent="0.2">
      <c r="D2023" s="52"/>
      <c r="E2023" s="52"/>
    </row>
    <row r="2024" spans="4:5" x14ac:dyDescent="0.2">
      <c r="D2024" s="52"/>
      <c r="E2024" s="52"/>
    </row>
    <row r="2025" spans="4:5" x14ac:dyDescent="0.2">
      <c r="D2025" s="52"/>
      <c r="E2025" s="52"/>
    </row>
    <row r="2026" spans="4:5" x14ac:dyDescent="0.2">
      <c r="D2026" s="52"/>
      <c r="E2026" s="52"/>
    </row>
    <row r="2027" spans="4:5" x14ac:dyDescent="0.2">
      <c r="D2027" s="52"/>
      <c r="E2027" s="52"/>
    </row>
    <row r="2028" spans="4:5" x14ac:dyDescent="0.2">
      <c r="D2028" s="52"/>
      <c r="E2028" s="52"/>
    </row>
    <row r="2029" spans="4:5" x14ac:dyDescent="0.2">
      <c r="D2029" s="52"/>
      <c r="E2029" s="52"/>
    </row>
    <row r="2030" spans="4:5" x14ac:dyDescent="0.2">
      <c r="D2030" s="52"/>
      <c r="E2030" s="52"/>
    </row>
    <row r="2031" spans="4:5" x14ac:dyDescent="0.2">
      <c r="D2031" s="52"/>
      <c r="E2031" s="52"/>
    </row>
    <row r="2032" spans="4:5" x14ac:dyDescent="0.2">
      <c r="D2032" s="52"/>
      <c r="E2032" s="52"/>
    </row>
    <row r="2033" spans="4:5" x14ac:dyDescent="0.2">
      <c r="D2033" s="52"/>
      <c r="E2033" s="52"/>
    </row>
    <row r="2034" spans="4:5" x14ac:dyDescent="0.2">
      <c r="D2034" s="52"/>
      <c r="E2034" s="52"/>
    </row>
    <row r="2035" spans="4:5" x14ac:dyDescent="0.2">
      <c r="D2035" s="52"/>
      <c r="E2035" s="52"/>
    </row>
    <row r="2036" spans="4:5" x14ac:dyDescent="0.2">
      <c r="D2036" s="52"/>
      <c r="E2036" s="52"/>
    </row>
    <row r="2037" spans="4:5" x14ac:dyDescent="0.2">
      <c r="D2037" s="52"/>
      <c r="E2037" s="52"/>
    </row>
    <row r="2038" spans="4:5" x14ac:dyDescent="0.2">
      <c r="D2038" s="52"/>
      <c r="E2038" s="52"/>
    </row>
    <row r="2039" spans="4:5" x14ac:dyDescent="0.2">
      <c r="D2039" s="52"/>
      <c r="E2039" s="52"/>
    </row>
    <row r="2040" spans="4:5" x14ac:dyDescent="0.2">
      <c r="D2040" s="52"/>
      <c r="E2040" s="52"/>
    </row>
    <row r="2041" spans="4:5" x14ac:dyDescent="0.2">
      <c r="D2041" s="52"/>
      <c r="E2041" s="52"/>
    </row>
    <row r="2042" spans="4:5" x14ac:dyDescent="0.2">
      <c r="D2042" s="52"/>
      <c r="E2042" s="52"/>
    </row>
    <row r="2043" spans="4:5" x14ac:dyDescent="0.2">
      <c r="D2043" s="52"/>
      <c r="E2043" s="52"/>
    </row>
    <row r="2044" spans="4:5" x14ac:dyDescent="0.2">
      <c r="D2044" s="52"/>
      <c r="E2044" s="52"/>
    </row>
    <row r="2045" spans="4:5" x14ac:dyDescent="0.2">
      <c r="D2045" s="52"/>
      <c r="E2045" s="52"/>
    </row>
    <row r="2046" spans="4:5" x14ac:dyDescent="0.2">
      <c r="D2046" s="52"/>
      <c r="E2046" s="52"/>
    </row>
    <row r="2047" spans="4:5" x14ac:dyDescent="0.2">
      <c r="D2047" s="52"/>
      <c r="E2047" s="52"/>
    </row>
    <row r="2048" spans="4:5" x14ac:dyDescent="0.2">
      <c r="D2048" s="52"/>
      <c r="E2048" s="52"/>
    </row>
    <row r="2049" spans="4:5" x14ac:dyDescent="0.2">
      <c r="D2049" s="52"/>
      <c r="E2049" s="52"/>
    </row>
    <row r="2050" spans="4:5" x14ac:dyDescent="0.2">
      <c r="D2050" s="52"/>
      <c r="E2050" s="52"/>
    </row>
    <row r="2051" spans="4:5" x14ac:dyDescent="0.2">
      <c r="D2051" s="52"/>
      <c r="E2051" s="52"/>
    </row>
    <row r="2052" spans="4:5" x14ac:dyDescent="0.2">
      <c r="D2052" s="52"/>
      <c r="E2052" s="52"/>
    </row>
    <row r="2053" spans="4:5" x14ac:dyDescent="0.2">
      <c r="D2053" s="52"/>
      <c r="E2053" s="52"/>
    </row>
    <row r="2054" spans="4:5" x14ac:dyDescent="0.2">
      <c r="D2054" s="52"/>
      <c r="E2054" s="52"/>
    </row>
    <row r="2055" spans="4:5" x14ac:dyDescent="0.2">
      <c r="D2055" s="52"/>
      <c r="E2055" s="52"/>
    </row>
    <row r="2056" spans="4:5" x14ac:dyDescent="0.2">
      <c r="D2056" s="52"/>
      <c r="E2056" s="52"/>
    </row>
    <row r="2057" spans="4:5" x14ac:dyDescent="0.2">
      <c r="D2057" s="52"/>
      <c r="E2057" s="52"/>
    </row>
    <row r="2058" spans="4:5" x14ac:dyDescent="0.2">
      <c r="D2058" s="52"/>
      <c r="E2058" s="52"/>
    </row>
    <row r="2059" spans="4:5" x14ac:dyDescent="0.2">
      <c r="D2059" s="52"/>
      <c r="E2059" s="52"/>
    </row>
    <row r="2060" spans="4:5" x14ac:dyDescent="0.2">
      <c r="D2060" s="52"/>
      <c r="E2060" s="52"/>
    </row>
    <row r="2061" spans="4:5" x14ac:dyDescent="0.2">
      <c r="D2061" s="52"/>
      <c r="E2061" s="52"/>
    </row>
    <row r="2062" spans="4:5" x14ac:dyDescent="0.2">
      <c r="D2062" s="52"/>
      <c r="E2062" s="52"/>
    </row>
    <row r="2063" spans="4:5" x14ac:dyDescent="0.2">
      <c r="D2063" s="52"/>
      <c r="E2063" s="52"/>
    </row>
    <row r="2064" spans="4:5" x14ac:dyDescent="0.2">
      <c r="D2064" s="52"/>
      <c r="E2064" s="52"/>
    </row>
    <row r="2065" spans="4:5" x14ac:dyDescent="0.2">
      <c r="D2065" s="52"/>
      <c r="E2065" s="52"/>
    </row>
    <row r="2066" spans="4:5" x14ac:dyDescent="0.2">
      <c r="D2066" s="52"/>
      <c r="E2066" s="52"/>
    </row>
    <row r="2067" spans="4:5" x14ac:dyDescent="0.2">
      <c r="D2067" s="52"/>
      <c r="E2067" s="52"/>
    </row>
    <row r="2068" spans="4:5" x14ac:dyDescent="0.2">
      <c r="D2068" s="52"/>
      <c r="E2068" s="52"/>
    </row>
    <row r="2069" spans="4:5" x14ac:dyDescent="0.2">
      <c r="D2069" s="52"/>
      <c r="E2069" s="52"/>
    </row>
    <row r="2070" spans="4:5" x14ac:dyDescent="0.2">
      <c r="D2070" s="52"/>
      <c r="E2070" s="52"/>
    </row>
    <row r="2071" spans="4:5" x14ac:dyDescent="0.2">
      <c r="D2071" s="52"/>
      <c r="E2071" s="52"/>
    </row>
    <row r="2072" spans="4:5" x14ac:dyDescent="0.2">
      <c r="D2072" s="52"/>
      <c r="E2072" s="52"/>
    </row>
    <row r="2073" spans="4:5" x14ac:dyDescent="0.2">
      <c r="D2073" s="52"/>
      <c r="E2073" s="52"/>
    </row>
    <row r="2074" spans="4:5" x14ac:dyDescent="0.2">
      <c r="D2074" s="52"/>
      <c r="E2074" s="52"/>
    </row>
    <row r="2075" spans="4:5" x14ac:dyDescent="0.2">
      <c r="D2075" s="52"/>
      <c r="E2075" s="52"/>
    </row>
    <row r="2076" spans="4:5" x14ac:dyDescent="0.2">
      <c r="D2076" s="52"/>
      <c r="E2076" s="52"/>
    </row>
    <row r="2077" spans="4:5" x14ac:dyDescent="0.2">
      <c r="D2077" s="52"/>
      <c r="E2077" s="52"/>
    </row>
    <row r="2078" spans="4:5" x14ac:dyDescent="0.2">
      <c r="D2078" s="52"/>
      <c r="E2078" s="52"/>
    </row>
    <row r="2079" spans="4:5" x14ac:dyDescent="0.2">
      <c r="D2079" s="52"/>
      <c r="E2079" s="52"/>
    </row>
    <row r="2080" spans="4:5" x14ac:dyDescent="0.2">
      <c r="D2080" s="52"/>
      <c r="E2080" s="52"/>
    </row>
    <row r="2081" spans="4:5" x14ac:dyDescent="0.2">
      <c r="D2081" s="52"/>
      <c r="E2081" s="52"/>
    </row>
    <row r="2082" spans="4:5" x14ac:dyDescent="0.2">
      <c r="D2082" s="52"/>
      <c r="E2082" s="52"/>
    </row>
    <row r="2083" spans="4:5" x14ac:dyDescent="0.2">
      <c r="D2083" s="52"/>
      <c r="E2083" s="52"/>
    </row>
    <row r="2084" spans="4:5" x14ac:dyDescent="0.2">
      <c r="D2084" s="52"/>
      <c r="E2084" s="52"/>
    </row>
    <row r="2085" spans="4:5" x14ac:dyDescent="0.2">
      <c r="D2085" s="52"/>
      <c r="E2085" s="52"/>
    </row>
    <row r="2086" spans="4:5" x14ac:dyDescent="0.2">
      <c r="D2086" s="52"/>
      <c r="E2086" s="52"/>
    </row>
    <row r="2087" spans="4:5" x14ac:dyDescent="0.2">
      <c r="D2087" s="52"/>
      <c r="E2087" s="52"/>
    </row>
    <row r="2088" spans="4:5" x14ac:dyDescent="0.2">
      <c r="D2088" s="52"/>
      <c r="E2088" s="52"/>
    </row>
    <row r="2089" spans="4:5" x14ac:dyDescent="0.2">
      <c r="D2089" s="52"/>
      <c r="E2089" s="52"/>
    </row>
    <row r="2090" spans="4:5" x14ac:dyDescent="0.2">
      <c r="D2090" s="52"/>
      <c r="E2090" s="52"/>
    </row>
    <row r="2091" spans="4:5" x14ac:dyDescent="0.2">
      <c r="D2091" s="52"/>
      <c r="E2091" s="52"/>
    </row>
    <row r="2092" spans="4:5" x14ac:dyDescent="0.2">
      <c r="D2092" s="52"/>
      <c r="E2092" s="52"/>
    </row>
    <row r="2093" spans="4:5" x14ac:dyDescent="0.2">
      <c r="D2093" s="52"/>
      <c r="E2093" s="52"/>
    </row>
    <row r="2094" spans="4:5" x14ac:dyDescent="0.2">
      <c r="D2094" s="52"/>
      <c r="E2094" s="52"/>
    </row>
    <row r="2095" spans="4:5" x14ac:dyDescent="0.2">
      <c r="D2095" s="52"/>
      <c r="E2095" s="52"/>
    </row>
    <row r="2096" spans="4:5" x14ac:dyDescent="0.2">
      <c r="D2096" s="52"/>
      <c r="E2096" s="52"/>
    </row>
    <row r="2097" spans="4:5" x14ac:dyDescent="0.2">
      <c r="D2097" s="52"/>
      <c r="E2097" s="52"/>
    </row>
    <row r="2098" spans="4:5" x14ac:dyDescent="0.2">
      <c r="D2098" s="52"/>
      <c r="E2098" s="52"/>
    </row>
    <row r="2099" spans="4:5" x14ac:dyDescent="0.2">
      <c r="D2099" s="52"/>
      <c r="E2099" s="52"/>
    </row>
    <row r="2100" spans="4:5" x14ac:dyDescent="0.2">
      <c r="D2100" s="52"/>
      <c r="E2100" s="52"/>
    </row>
    <row r="2101" spans="4:5" x14ac:dyDescent="0.2">
      <c r="D2101" s="52"/>
      <c r="E2101" s="52"/>
    </row>
    <row r="2102" spans="4:5" x14ac:dyDescent="0.2">
      <c r="D2102" s="52"/>
      <c r="E2102" s="52"/>
    </row>
    <row r="2103" spans="4:5" x14ac:dyDescent="0.2">
      <c r="D2103" s="52"/>
      <c r="E2103" s="52"/>
    </row>
    <row r="2104" spans="4:5" x14ac:dyDescent="0.2">
      <c r="D2104" s="52"/>
      <c r="E2104" s="52"/>
    </row>
    <row r="2105" spans="4:5" x14ac:dyDescent="0.2">
      <c r="D2105" s="52"/>
      <c r="E2105" s="52"/>
    </row>
    <row r="2106" spans="4:5" x14ac:dyDescent="0.2">
      <c r="D2106" s="52"/>
      <c r="E2106" s="52"/>
    </row>
    <row r="2107" spans="4:5" x14ac:dyDescent="0.2">
      <c r="D2107" s="52"/>
      <c r="E2107" s="52"/>
    </row>
    <row r="2108" spans="4:5" x14ac:dyDescent="0.2">
      <c r="D2108" s="52"/>
      <c r="E2108" s="52"/>
    </row>
    <row r="2109" spans="4:5" x14ac:dyDescent="0.2">
      <c r="D2109" s="52"/>
      <c r="E2109" s="52"/>
    </row>
    <row r="2110" spans="4:5" x14ac:dyDescent="0.2">
      <c r="D2110" s="52"/>
      <c r="E2110" s="52"/>
    </row>
    <row r="2111" spans="4:5" x14ac:dyDescent="0.2">
      <c r="D2111" s="52"/>
      <c r="E2111" s="52"/>
    </row>
    <row r="2112" spans="4:5" x14ac:dyDescent="0.2">
      <c r="D2112" s="52"/>
      <c r="E2112" s="52"/>
    </row>
    <row r="2113" spans="4:5" x14ac:dyDescent="0.2">
      <c r="D2113" s="52"/>
      <c r="E2113" s="52"/>
    </row>
    <row r="2114" spans="4:5" x14ac:dyDescent="0.2">
      <c r="D2114" s="52"/>
      <c r="E2114" s="52"/>
    </row>
    <row r="2115" spans="4:5" x14ac:dyDescent="0.2">
      <c r="D2115" s="52"/>
      <c r="E2115" s="52"/>
    </row>
    <row r="2116" spans="4:5" x14ac:dyDescent="0.2">
      <c r="D2116" s="52"/>
      <c r="E2116" s="52"/>
    </row>
    <row r="2117" spans="4:5" x14ac:dyDescent="0.2">
      <c r="D2117" s="52"/>
      <c r="E2117" s="52"/>
    </row>
    <row r="2118" spans="4:5" x14ac:dyDescent="0.2">
      <c r="D2118" s="52"/>
      <c r="E2118" s="52"/>
    </row>
    <row r="2119" spans="4:5" x14ac:dyDescent="0.2">
      <c r="D2119" s="52"/>
      <c r="E2119" s="52"/>
    </row>
    <row r="2120" spans="4:5" x14ac:dyDescent="0.2">
      <c r="D2120" s="52"/>
      <c r="E2120" s="52"/>
    </row>
    <row r="2121" spans="4:5" x14ac:dyDescent="0.2">
      <c r="D2121" s="52"/>
      <c r="E2121" s="52"/>
    </row>
    <row r="2122" spans="4:5" x14ac:dyDescent="0.2">
      <c r="D2122" s="52"/>
      <c r="E2122" s="52"/>
    </row>
    <row r="2123" spans="4:5" x14ac:dyDescent="0.2">
      <c r="D2123" s="52"/>
      <c r="E2123" s="52"/>
    </row>
    <row r="2124" spans="4:5" x14ac:dyDescent="0.2">
      <c r="D2124" s="52"/>
      <c r="E2124" s="52"/>
    </row>
    <row r="2125" spans="4:5" x14ac:dyDescent="0.2">
      <c r="D2125" s="52"/>
      <c r="E2125" s="52"/>
    </row>
    <row r="2126" spans="4:5" x14ac:dyDescent="0.2">
      <c r="D2126" s="52"/>
      <c r="E2126" s="52"/>
    </row>
    <row r="2127" spans="4:5" x14ac:dyDescent="0.2">
      <c r="D2127" s="52"/>
      <c r="E2127" s="52"/>
    </row>
    <row r="2128" spans="4:5" x14ac:dyDescent="0.2">
      <c r="D2128" s="52"/>
      <c r="E2128" s="52"/>
    </row>
    <row r="2129" spans="4:5" x14ac:dyDescent="0.2">
      <c r="D2129" s="52"/>
      <c r="E2129" s="52"/>
    </row>
    <row r="2130" spans="4:5" x14ac:dyDescent="0.2">
      <c r="D2130" s="52"/>
      <c r="E2130" s="52"/>
    </row>
    <row r="2131" spans="4:5" x14ac:dyDescent="0.2">
      <c r="D2131" s="52"/>
      <c r="E2131" s="52"/>
    </row>
    <row r="2132" spans="4:5" x14ac:dyDescent="0.2">
      <c r="D2132" s="52"/>
      <c r="E2132" s="52"/>
    </row>
    <row r="2133" spans="4:5" x14ac:dyDescent="0.2">
      <c r="D2133" s="52"/>
      <c r="E2133" s="52"/>
    </row>
    <row r="2134" spans="4:5" x14ac:dyDescent="0.2">
      <c r="D2134" s="52"/>
      <c r="E2134" s="52"/>
    </row>
    <row r="2135" spans="4:5" x14ac:dyDescent="0.2">
      <c r="D2135" s="52"/>
      <c r="E2135" s="52"/>
    </row>
    <row r="2136" spans="4:5" x14ac:dyDescent="0.2">
      <c r="D2136" s="52"/>
      <c r="E2136" s="52"/>
    </row>
    <row r="2137" spans="4:5" x14ac:dyDescent="0.2">
      <c r="D2137" s="52"/>
      <c r="E2137" s="52"/>
    </row>
    <row r="2138" spans="4:5" x14ac:dyDescent="0.2">
      <c r="D2138" s="52"/>
      <c r="E2138" s="52"/>
    </row>
    <row r="2139" spans="4:5" x14ac:dyDescent="0.2">
      <c r="D2139" s="52"/>
      <c r="E2139" s="52"/>
    </row>
    <row r="2140" spans="4:5" x14ac:dyDescent="0.2">
      <c r="D2140" s="52"/>
      <c r="E2140" s="52"/>
    </row>
    <row r="2141" spans="4:5" x14ac:dyDescent="0.2">
      <c r="D2141" s="52"/>
      <c r="E2141" s="52"/>
    </row>
    <row r="2142" spans="4:5" x14ac:dyDescent="0.2">
      <c r="D2142" s="52"/>
      <c r="E2142" s="52"/>
    </row>
    <row r="2143" spans="4:5" x14ac:dyDescent="0.2">
      <c r="D2143" s="52"/>
      <c r="E2143" s="52"/>
    </row>
    <row r="2144" spans="4:5" x14ac:dyDescent="0.2">
      <c r="D2144" s="52"/>
      <c r="E2144" s="52"/>
    </row>
    <row r="2145" spans="4:5" x14ac:dyDescent="0.2">
      <c r="D2145" s="52"/>
      <c r="E2145" s="52"/>
    </row>
    <row r="2146" spans="4:5" x14ac:dyDescent="0.2">
      <c r="D2146" s="52"/>
      <c r="E2146" s="52"/>
    </row>
    <row r="2147" spans="4:5" x14ac:dyDescent="0.2">
      <c r="D2147" s="52"/>
      <c r="E2147" s="52"/>
    </row>
    <row r="2148" spans="4:5" x14ac:dyDescent="0.2">
      <c r="D2148" s="52"/>
      <c r="E2148" s="52"/>
    </row>
    <row r="2149" spans="4:5" x14ac:dyDescent="0.2">
      <c r="D2149" s="52"/>
      <c r="E2149" s="52"/>
    </row>
    <row r="2150" spans="4:5" x14ac:dyDescent="0.2">
      <c r="D2150" s="52"/>
      <c r="E2150" s="52"/>
    </row>
    <row r="2151" spans="4:5" x14ac:dyDescent="0.2">
      <c r="D2151" s="52"/>
      <c r="E2151" s="52"/>
    </row>
    <row r="2152" spans="4:5" x14ac:dyDescent="0.2">
      <c r="D2152" s="52"/>
      <c r="E2152" s="52"/>
    </row>
    <row r="2153" spans="4:5" x14ac:dyDescent="0.2">
      <c r="D2153" s="52"/>
      <c r="E2153" s="52"/>
    </row>
    <row r="2154" spans="4:5" x14ac:dyDescent="0.2">
      <c r="D2154" s="52"/>
      <c r="E2154" s="52"/>
    </row>
    <row r="2155" spans="4:5" x14ac:dyDescent="0.2">
      <c r="D2155" s="52"/>
      <c r="E2155" s="52"/>
    </row>
    <row r="2156" spans="4:5" x14ac:dyDescent="0.2">
      <c r="D2156" s="52"/>
      <c r="E2156" s="52"/>
    </row>
    <row r="2157" spans="4:5" x14ac:dyDescent="0.2">
      <c r="D2157" s="52"/>
      <c r="E2157" s="52"/>
    </row>
    <row r="2158" spans="4:5" x14ac:dyDescent="0.2">
      <c r="D2158" s="52"/>
      <c r="E2158" s="52"/>
    </row>
    <row r="2159" spans="4:5" x14ac:dyDescent="0.2">
      <c r="D2159" s="52"/>
      <c r="E2159" s="52"/>
    </row>
    <row r="2160" spans="4:5" x14ac:dyDescent="0.2">
      <c r="D2160" s="52"/>
      <c r="E2160" s="52"/>
    </row>
    <row r="2161" spans="4:5" x14ac:dyDescent="0.2">
      <c r="D2161" s="52"/>
      <c r="E2161" s="52"/>
    </row>
    <row r="2162" spans="4:5" x14ac:dyDescent="0.2">
      <c r="D2162" s="52"/>
      <c r="E2162" s="52"/>
    </row>
    <row r="2163" spans="4:5" x14ac:dyDescent="0.2">
      <c r="D2163" s="52"/>
      <c r="E2163" s="52"/>
    </row>
    <row r="2164" spans="4:5" x14ac:dyDescent="0.2">
      <c r="D2164" s="52"/>
      <c r="E2164" s="52"/>
    </row>
    <row r="2165" spans="4:5" x14ac:dyDescent="0.2">
      <c r="D2165" s="52"/>
      <c r="E2165" s="52"/>
    </row>
    <row r="2166" spans="4:5" x14ac:dyDescent="0.2">
      <c r="D2166" s="52"/>
      <c r="E2166" s="52"/>
    </row>
    <row r="2167" spans="4:5" x14ac:dyDescent="0.2">
      <c r="D2167" s="52"/>
      <c r="E2167" s="52"/>
    </row>
    <row r="2168" spans="4:5" x14ac:dyDescent="0.2">
      <c r="D2168" s="52"/>
      <c r="E2168" s="52"/>
    </row>
    <row r="2169" spans="4:5" x14ac:dyDescent="0.2">
      <c r="D2169" s="52"/>
      <c r="E2169" s="52"/>
    </row>
    <row r="2170" spans="4:5" x14ac:dyDescent="0.2">
      <c r="D2170" s="52"/>
      <c r="E2170" s="52"/>
    </row>
    <row r="2171" spans="4:5" x14ac:dyDescent="0.2">
      <c r="D2171" s="52"/>
      <c r="E2171" s="52"/>
    </row>
    <row r="2172" spans="4:5" x14ac:dyDescent="0.2">
      <c r="D2172" s="52"/>
      <c r="E2172" s="52"/>
    </row>
    <row r="2173" spans="4:5" x14ac:dyDescent="0.2">
      <c r="D2173" s="52"/>
      <c r="E2173" s="52"/>
    </row>
    <row r="2174" spans="4:5" x14ac:dyDescent="0.2">
      <c r="D2174" s="52"/>
      <c r="E2174" s="52"/>
    </row>
    <row r="2175" spans="4:5" x14ac:dyDescent="0.2">
      <c r="D2175" s="52"/>
      <c r="E2175" s="52"/>
    </row>
    <row r="2176" spans="4:5" x14ac:dyDescent="0.2">
      <c r="D2176" s="52"/>
      <c r="E2176" s="52"/>
    </row>
    <row r="2177" spans="4:5" x14ac:dyDescent="0.2">
      <c r="D2177" s="52"/>
      <c r="E2177" s="52"/>
    </row>
    <row r="2178" spans="4:5" x14ac:dyDescent="0.2">
      <c r="D2178" s="52"/>
      <c r="E2178" s="52"/>
    </row>
    <row r="2179" spans="4:5" x14ac:dyDescent="0.2">
      <c r="D2179" s="52"/>
      <c r="E2179" s="52"/>
    </row>
    <row r="2180" spans="4:5" x14ac:dyDescent="0.2">
      <c r="D2180" s="52"/>
      <c r="E2180" s="52"/>
    </row>
    <row r="2181" spans="4:5" x14ac:dyDescent="0.2">
      <c r="D2181" s="52"/>
      <c r="E2181" s="52"/>
    </row>
    <row r="2182" spans="4:5" x14ac:dyDescent="0.2">
      <c r="D2182" s="52"/>
      <c r="E2182" s="52"/>
    </row>
    <row r="2183" spans="4:5" x14ac:dyDescent="0.2">
      <c r="D2183" s="52"/>
      <c r="E2183" s="52"/>
    </row>
    <row r="2184" spans="4:5" x14ac:dyDescent="0.2">
      <c r="D2184" s="52"/>
      <c r="E2184" s="52"/>
    </row>
    <row r="2185" spans="4:5" x14ac:dyDescent="0.2">
      <c r="D2185" s="52"/>
      <c r="E2185" s="52"/>
    </row>
    <row r="2186" spans="4:5" x14ac:dyDescent="0.2">
      <c r="D2186" s="52"/>
      <c r="E2186" s="52"/>
    </row>
    <row r="2187" spans="4:5" x14ac:dyDescent="0.2">
      <c r="D2187" s="52"/>
      <c r="E2187" s="52"/>
    </row>
    <row r="2188" spans="4:5" x14ac:dyDescent="0.2">
      <c r="D2188" s="52"/>
      <c r="E2188" s="52"/>
    </row>
    <row r="2189" spans="4:5" x14ac:dyDescent="0.2">
      <c r="D2189" s="52"/>
      <c r="E2189" s="52"/>
    </row>
    <row r="2190" spans="4:5" x14ac:dyDescent="0.2">
      <c r="D2190" s="52"/>
      <c r="E2190" s="52"/>
    </row>
    <row r="2191" spans="4:5" x14ac:dyDescent="0.2">
      <c r="D2191" s="52"/>
      <c r="E2191" s="52"/>
    </row>
    <row r="2192" spans="4:5" x14ac:dyDescent="0.2">
      <c r="D2192" s="52"/>
      <c r="E2192" s="52"/>
    </row>
    <row r="2193" spans="4:5" x14ac:dyDescent="0.2">
      <c r="D2193" s="52"/>
      <c r="E2193" s="52"/>
    </row>
    <row r="2194" spans="4:5" x14ac:dyDescent="0.2">
      <c r="D2194" s="52"/>
      <c r="E2194" s="52"/>
    </row>
    <row r="2195" spans="4:5" x14ac:dyDescent="0.2">
      <c r="D2195" s="52"/>
      <c r="E2195" s="52"/>
    </row>
    <row r="2196" spans="4:5" x14ac:dyDescent="0.2">
      <c r="D2196" s="52"/>
      <c r="E2196" s="52"/>
    </row>
    <row r="2197" spans="4:5" x14ac:dyDescent="0.2">
      <c r="D2197" s="52"/>
      <c r="E2197" s="52"/>
    </row>
    <row r="2198" spans="4:5" x14ac:dyDescent="0.2">
      <c r="D2198" s="52"/>
      <c r="E2198" s="52"/>
    </row>
    <row r="2199" spans="4:5" x14ac:dyDescent="0.2">
      <c r="D2199" s="52"/>
      <c r="E2199" s="52"/>
    </row>
    <row r="2200" spans="4:5" x14ac:dyDescent="0.2">
      <c r="D2200" s="52"/>
      <c r="E2200" s="52"/>
    </row>
    <row r="2201" spans="4:5" x14ac:dyDescent="0.2">
      <c r="D2201" s="52"/>
      <c r="E2201" s="52"/>
    </row>
    <row r="2202" spans="4:5" x14ac:dyDescent="0.2">
      <c r="D2202" s="52"/>
      <c r="E2202" s="52"/>
    </row>
    <row r="2203" spans="4:5" x14ac:dyDescent="0.2">
      <c r="D2203" s="52"/>
      <c r="E2203" s="52"/>
    </row>
    <row r="2204" spans="4:5" x14ac:dyDescent="0.2">
      <c r="D2204" s="52"/>
      <c r="E2204" s="52"/>
    </row>
    <row r="2205" spans="4:5" x14ac:dyDescent="0.2">
      <c r="D2205" s="52"/>
      <c r="E2205" s="52"/>
    </row>
    <row r="2206" spans="4:5" x14ac:dyDescent="0.2">
      <c r="D2206" s="52"/>
      <c r="E2206" s="52"/>
    </row>
    <row r="2207" spans="4:5" x14ac:dyDescent="0.2">
      <c r="D2207" s="52"/>
      <c r="E2207" s="52"/>
    </row>
    <row r="2208" spans="4:5" x14ac:dyDescent="0.2">
      <c r="D2208" s="52"/>
      <c r="E2208" s="52"/>
    </row>
    <row r="2209" spans="4:5" x14ac:dyDescent="0.2">
      <c r="D2209" s="52"/>
      <c r="E2209" s="52"/>
    </row>
    <row r="2210" spans="4:5" x14ac:dyDescent="0.2">
      <c r="D2210" s="52"/>
      <c r="E2210" s="52"/>
    </row>
    <row r="2211" spans="4:5" x14ac:dyDescent="0.2">
      <c r="D2211" s="52"/>
      <c r="E2211" s="52"/>
    </row>
    <row r="2212" spans="4:5" x14ac:dyDescent="0.2">
      <c r="D2212" s="52"/>
      <c r="E2212" s="52"/>
    </row>
    <row r="2213" spans="4:5" x14ac:dyDescent="0.2">
      <c r="D2213" s="52"/>
      <c r="E2213" s="52"/>
    </row>
    <row r="2214" spans="4:5" x14ac:dyDescent="0.2">
      <c r="D2214" s="52"/>
      <c r="E2214" s="52"/>
    </row>
    <row r="2215" spans="4:5" x14ac:dyDescent="0.2">
      <c r="D2215" s="52"/>
      <c r="E2215" s="52"/>
    </row>
    <row r="2216" spans="4:5" x14ac:dyDescent="0.2">
      <c r="D2216" s="52"/>
      <c r="E2216" s="52"/>
    </row>
    <row r="2217" spans="4:5" x14ac:dyDescent="0.2">
      <c r="D2217" s="52"/>
      <c r="E2217" s="52"/>
    </row>
    <row r="2218" spans="4:5" x14ac:dyDescent="0.2">
      <c r="D2218" s="52"/>
      <c r="E2218" s="52"/>
    </row>
    <row r="2219" spans="4:5" x14ac:dyDescent="0.2">
      <c r="D2219" s="52"/>
      <c r="E2219" s="52"/>
    </row>
    <row r="2220" spans="4:5" x14ac:dyDescent="0.2">
      <c r="D2220" s="52"/>
      <c r="E2220" s="52"/>
    </row>
    <row r="2221" spans="4:5" x14ac:dyDescent="0.2">
      <c r="D2221" s="52"/>
      <c r="E2221" s="52"/>
    </row>
    <row r="2222" spans="4:5" x14ac:dyDescent="0.2">
      <c r="D2222" s="52"/>
      <c r="E2222" s="52"/>
    </row>
    <row r="2223" spans="4:5" x14ac:dyDescent="0.2">
      <c r="D2223" s="52"/>
      <c r="E2223" s="52"/>
    </row>
    <row r="2224" spans="4:5" x14ac:dyDescent="0.2">
      <c r="D2224" s="52"/>
      <c r="E2224" s="52"/>
    </row>
    <row r="2225" spans="4:5" x14ac:dyDescent="0.2">
      <c r="D2225" s="52"/>
      <c r="E2225" s="52"/>
    </row>
    <row r="2226" spans="4:5" x14ac:dyDescent="0.2">
      <c r="D2226" s="52"/>
      <c r="E2226" s="52"/>
    </row>
    <row r="2227" spans="4:5" x14ac:dyDescent="0.2">
      <c r="D2227" s="52"/>
      <c r="E2227" s="52"/>
    </row>
    <row r="2228" spans="4:5" x14ac:dyDescent="0.2">
      <c r="D2228" s="52"/>
      <c r="E2228" s="52"/>
    </row>
    <row r="2229" spans="4:5" x14ac:dyDescent="0.2">
      <c r="D2229" s="52"/>
      <c r="E2229" s="52"/>
    </row>
    <row r="2230" spans="4:5" x14ac:dyDescent="0.2">
      <c r="D2230" s="52"/>
      <c r="E2230" s="52"/>
    </row>
    <row r="2231" spans="4:5" x14ac:dyDescent="0.2">
      <c r="D2231" s="52"/>
      <c r="E2231" s="52"/>
    </row>
    <row r="2232" spans="4:5" x14ac:dyDescent="0.2">
      <c r="D2232" s="52"/>
      <c r="E2232" s="52"/>
    </row>
    <row r="2233" spans="4:5" x14ac:dyDescent="0.2">
      <c r="D2233" s="52"/>
      <c r="E2233" s="52"/>
    </row>
    <row r="2234" spans="4:5" x14ac:dyDescent="0.2">
      <c r="D2234" s="52"/>
      <c r="E2234" s="52"/>
    </row>
    <row r="2235" spans="4:5" x14ac:dyDescent="0.2">
      <c r="D2235" s="52"/>
      <c r="E2235" s="52"/>
    </row>
    <row r="2236" spans="4:5" x14ac:dyDescent="0.2">
      <c r="D2236" s="52"/>
      <c r="E2236" s="52"/>
    </row>
    <row r="2237" spans="4:5" x14ac:dyDescent="0.2">
      <c r="D2237" s="52"/>
      <c r="E2237" s="52"/>
    </row>
    <row r="2238" spans="4:5" x14ac:dyDescent="0.2">
      <c r="D2238" s="52"/>
      <c r="E2238" s="52"/>
    </row>
    <row r="2239" spans="4:5" x14ac:dyDescent="0.2">
      <c r="D2239" s="52"/>
      <c r="E2239" s="52"/>
    </row>
    <row r="2240" spans="4:5" x14ac:dyDescent="0.2">
      <c r="D2240" s="52"/>
      <c r="E2240" s="52"/>
    </row>
    <row r="2241" spans="4:5" x14ac:dyDescent="0.2">
      <c r="D2241" s="52"/>
      <c r="E2241" s="52"/>
    </row>
    <row r="2242" spans="4:5" x14ac:dyDescent="0.2">
      <c r="D2242" s="52"/>
      <c r="E2242" s="52"/>
    </row>
    <row r="2243" spans="4:5" x14ac:dyDescent="0.2">
      <c r="D2243" s="52"/>
      <c r="E2243" s="52"/>
    </row>
    <row r="2244" spans="4:5" x14ac:dyDescent="0.2">
      <c r="D2244" s="52"/>
      <c r="E2244" s="52"/>
    </row>
    <row r="2245" spans="4:5" x14ac:dyDescent="0.2">
      <c r="D2245" s="52"/>
      <c r="E2245" s="52"/>
    </row>
    <row r="2246" spans="4:5" x14ac:dyDescent="0.2">
      <c r="D2246" s="52"/>
      <c r="E2246" s="52"/>
    </row>
    <row r="2247" spans="4:5" x14ac:dyDescent="0.2">
      <c r="D2247" s="52"/>
      <c r="E2247" s="52"/>
    </row>
    <row r="2248" spans="4:5" x14ac:dyDescent="0.2">
      <c r="D2248" s="52"/>
      <c r="E2248" s="52"/>
    </row>
    <row r="2249" spans="4:5" x14ac:dyDescent="0.2">
      <c r="D2249" s="52"/>
      <c r="E2249" s="52"/>
    </row>
    <row r="2250" spans="4:5" x14ac:dyDescent="0.2">
      <c r="D2250" s="52"/>
      <c r="E2250" s="52"/>
    </row>
    <row r="2251" spans="4:5" x14ac:dyDescent="0.2">
      <c r="D2251" s="52"/>
      <c r="E2251" s="52"/>
    </row>
    <row r="2252" spans="4:5" x14ac:dyDescent="0.2">
      <c r="D2252" s="52"/>
      <c r="E2252" s="52"/>
    </row>
    <row r="2253" spans="4:5" x14ac:dyDescent="0.2">
      <c r="D2253" s="52"/>
      <c r="E2253" s="52"/>
    </row>
    <row r="2254" spans="4:5" x14ac:dyDescent="0.2">
      <c r="D2254" s="52"/>
      <c r="E2254" s="52"/>
    </row>
    <row r="2255" spans="4:5" x14ac:dyDescent="0.2">
      <c r="D2255" s="52"/>
      <c r="E2255" s="52"/>
    </row>
    <row r="2256" spans="4:5" x14ac:dyDescent="0.2">
      <c r="D2256" s="52"/>
      <c r="E2256" s="52"/>
    </row>
    <row r="2257" spans="4:5" x14ac:dyDescent="0.2">
      <c r="D2257" s="52"/>
      <c r="E2257" s="52"/>
    </row>
    <row r="2258" spans="4:5" x14ac:dyDescent="0.2">
      <c r="D2258" s="52"/>
      <c r="E2258" s="52"/>
    </row>
    <row r="2259" spans="4:5" x14ac:dyDescent="0.2">
      <c r="D2259" s="52"/>
      <c r="E2259" s="52"/>
    </row>
    <row r="2260" spans="4:5" x14ac:dyDescent="0.2">
      <c r="D2260" s="52"/>
      <c r="E2260" s="52"/>
    </row>
    <row r="2261" spans="4:5" x14ac:dyDescent="0.2">
      <c r="D2261" s="52"/>
      <c r="E2261" s="52"/>
    </row>
    <row r="2262" spans="4:5" x14ac:dyDescent="0.2">
      <c r="D2262" s="52"/>
      <c r="E2262" s="52"/>
    </row>
    <row r="2263" spans="4:5" x14ac:dyDescent="0.2">
      <c r="D2263" s="52"/>
      <c r="E2263" s="52"/>
    </row>
    <row r="2264" spans="4:5" x14ac:dyDescent="0.2">
      <c r="D2264" s="52"/>
      <c r="E2264" s="52"/>
    </row>
    <row r="2265" spans="4:5" x14ac:dyDescent="0.2">
      <c r="D2265" s="52"/>
      <c r="E2265" s="52"/>
    </row>
    <row r="2266" spans="4:5" x14ac:dyDescent="0.2">
      <c r="D2266" s="52"/>
      <c r="E2266" s="52"/>
    </row>
    <row r="2267" spans="4:5" x14ac:dyDescent="0.2">
      <c r="D2267" s="52"/>
      <c r="E2267" s="52"/>
    </row>
    <row r="2268" spans="4:5" x14ac:dyDescent="0.2">
      <c r="D2268" s="52"/>
      <c r="E2268" s="52"/>
    </row>
    <row r="2269" spans="4:5" x14ac:dyDescent="0.2">
      <c r="D2269" s="52"/>
      <c r="E2269" s="52"/>
    </row>
    <row r="2270" spans="4:5" x14ac:dyDescent="0.2">
      <c r="D2270" s="52"/>
      <c r="E2270" s="52"/>
    </row>
    <row r="2271" spans="4:5" x14ac:dyDescent="0.2">
      <c r="D2271" s="52"/>
      <c r="E2271" s="52"/>
    </row>
    <row r="2272" spans="4:5" x14ac:dyDescent="0.2">
      <c r="D2272" s="52"/>
      <c r="E2272" s="52"/>
    </row>
    <row r="2273" spans="4:5" x14ac:dyDescent="0.2">
      <c r="D2273" s="52"/>
      <c r="E2273" s="52"/>
    </row>
    <row r="2274" spans="4:5" x14ac:dyDescent="0.2">
      <c r="D2274" s="52"/>
      <c r="E2274" s="52"/>
    </row>
    <row r="2275" spans="4:5" x14ac:dyDescent="0.2">
      <c r="D2275" s="52"/>
      <c r="E2275" s="52"/>
    </row>
    <row r="2276" spans="4:5" x14ac:dyDescent="0.2">
      <c r="D2276" s="52"/>
      <c r="E2276" s="52"/>
    </row>
    <row r="2277" spans="4:5" x14ac:dyDescent="0.2">
      <c r="D2277" s="52"/>
      <c r="E2277" s="52"/>
    </row>
    <row r="2278" spans="4:5" x14ac:dyDescent="0.2">
      <c r="D2278" s="52"/>
      <c r="E2278" s="52"/>
    </row>
    <row r="2279" spans="4:5" x14ac:dyDescent="0.2">
      <c r="D2279" s="52"/>
      <c r="E2279" s="52"/>
    </row>
    <row r="2280" spans="4:5" x14ac:dyDescent="0.2">
      <c r="D2280" s="52"/>
      <c r="E2280" s="52"/>
    </row>
    <row r="2281" spans="4:5" x14ac:dyDescent="0.2">
      <c r="D2281" s="52"/>
      <c r="E2281" s="52"/>
    </row>
    <row r="2282" spans="4:5" x14ac:dyDescent="0.2">
      <c r="D2282" s="52"/>
      <c r="E2282" s="52"/>
    </row>
    <row r="2283" spans="4:5" x14ac:dyDescent="0.2">
      <c r="D2283" s="52"/>
      <c r="E2283" s="52"/>
    </row>
    <row r="2284" spans="4:5" x14ac:dyDescent="0.2">
      <c r="D2284" s="52"/>
      <c r="E2284" s="52"/>
    </row>
    <row r="2285" spans="4:5" x14ac:dyDescent="0.2">
      <c r="D2285" s="52"/>
      <c r="E2285" s="52"/>
    </row>
    <row r="2286" spans="4:5" x14ac:dyDescent="0.2">
      <c r="D2286" s="52"/>
      <c r="E2286" s="52"/>
    </row>
    <row r="2287" spans="4:5" x14ac:dyDescent="0.2">
      <c r="D2287" s="52"/>
      <c r="E2287" s="52"/>
    </row>
    <row r="2288" spans="4:5" x14ac:dyDescent="0.2">
      <c r="D2288" s="52"/>
      <c r="E2288" s="52"/>
    </row>
    <row r="2289" spans="4:5" x14ac:dyDescent="0.2">
      <c r="D2289" s="52"/>
      <c r="E2289" s="52"/>
    </row>
    <row r="2290" spans="4:5" x14ac:dyDescent="0.2">
      <c r="D2290" s="52"/>
      <c r="E2290" s="52"/>
    </row>
    <row r="2291" spans="4:5" x14ac:dyDescent="0.2">
      <c r="D2291" s="52"/>
      <c r="E2291" s="52"/>
    </row>
    <row r="2292" spans="4:5" x14ac:dyDescent="0.2">
      <c r="D2292" s="52"/>
      <c r="E2292" s="52"/>
    </row>
    <row r="2293" spans="4:5" x14ac:dyDescent="0.2">
      <c r="D2293" s="52"/>
      <c r="E2293" s="52"/>
    </row>
    <row r="2294" spans="4:5" x14ac:dyDescent="0.2">
      <c r="D2294" s="52"/>
      <c r="E2294" s="52"/>
    </row>
    <row r="2295" spans="4:5" x14ac:dyDescent="0.2">
      <c r="D2295" s="52"/>
      <c r="E2295" s="52"/>
    </row>
    <row r="2296" spans="4:5" x14ac:dyDescent="0.2">
      <c r="D2296" s="52"/>
      <c r="E2296" s="52"/>
    </row>
    <row r="2297" spans="4:5" x14ac:dyDescent="0.2">
      <c r="D2297" s="52"/>
      <c r="E2297" s="52"/>
    </row>
    <row r="2298" spans="4:5" x14ac:dyDescent="0.2">
      <c r="D2298" s="52"/>
      <c r="E2298" s="52"/>
    </row>
    <row r="2299" spans="4:5" x14ac:dyDescent="0.2">
      <c r="D2299" s="52"/>
      <c r="E2299" s="52"/>
    </row>
    <row r="2300" spans="4:5" x14ac:dyDescent="0.2">
      <c r="D2300" s="52"/>
      <c r="E2300" s="52"/>
    </row>
    <row r="2301" spans="4:5" x14ac:dyDescent="0.2">
      <c r="D2301" s="52"/>
      <c r="E2301" s="52"/>
    </row>
    <row r="2302" spans="4:5" x14ac:dyDescent="0.2">
      <c r="D2302" s="52"/>
      <c r="E2302" s="52"/>
    </row>
    <row r="2303" spans="4:5" x14ac:dyDescent="0.2">
      <c r="D2303" s="52"/>
      <c r="E2303" s="52"/>
    </row>
    <row r="2304" spans="4:5" x14ac:dyDescent="0.2">
      <c r="D2304" s="52"/>
      <c r="E2304" s="52"/>
    </row>
    <row r="2305" spans="4:5" x14ac:dyDescent="0.2">
      <c r="D2305" s="52"/>
      <c r="E2305" s="52"/>
    </row>
    <row r="2306" spans="4:5" x14ac:dyDescent="0.2">
      <c r="D2306" s="52"/>
      <c r="E2306" s="52"/>
    </row>
    <row r="2307" spans="4:5" x14ac:dyDescent="0.2">
      <c r="D2307" s="52"/>
      <c r="E2307" s="52"/>
    </row>
    <row r="2308" spans="4:5" x14ac:dyDescent="0.2">
      <c r="D2308" s="52"/>
      <c r="E2308" s="52"/>
    </row>
    <row r="2309" spans="4:5" x14ac:dyDescent="0.2">
      <c r="D2309" s="52"/>
      <c r="E2309" s="52"/>
    </row>
    <row r="2310" spans="4:5" x14ac:dyDescent="0.2">
      <c r="D2310" s="52"/>
      <c r="E2310" s="52"/>
    </row>
    <row r="2311" spans="4:5" x14ac:dyDescent="0.2">
      <c r="D2311" s="52"/>
      <c r="E2311" s="52"/>
    </row>
    <row r="2312" spans="4:5" x14ac:dyDescent="0.2">
      <c r="D2312" s="52"/>
      <c r="E2312" s="52"/>
    </row>
    <row r="2313" spans="4:5" x14ac:dyDescent="0.2">
      <c r="D2313" s="52"/>
      <c r="E2313" s="52"/>
    </row>
    <row r="2314" spans="4:5" x14ac:dyDescent="0.2">
      <c r="D2314" s="52"/>
      <c r="E2314" s="52"/>
    </row>
    <row r="2315" spans="4:5" x14ac:dyDescent="0.2">
      <c r="D2315" s="52"/>
      <c r="E2315" s="52"/>
    </row>
    <row r="2316" spans="4:5" x14ac:dyDescent="0.2">
      <c r="D2316" s="52"/>
      <c r="E2316" s="52"/>
    </row>
    <row r="2317" spans="4:5" x14ac:dyDescent="0.2">
      <c r="D2317" s="52"/>
      <c r="E2317" s="52"/>
    </row>
    <row r="2318" spans="4:5" x14ac:dyDescent="0.2">
      <c r="D2318" s="52"/>
      <c r="E2318" s="52"/>
    </row>
    <row r="2319" spans="4:5" x14ac:dyDescent="0.2">
      <c r="D2319" s="52"/>
      <c r="E2319" s="52"/>
    </row>
    <row r="2320" spans="4:5" x14ac:dyDescent="0.2">
      <c r="D2320" s="52"/>
      <c r="E2320" s="52"/>
    </row>
    <row r="2321" spans="4:5" x14ac:dyDescent="0.2">
      <c r="D2321" s="52"/>
      <c r="E2321" s="52"/>
    </row>
    <row r="2322" spans="4:5" x14ac:dyDescent="0.2">
      <c r="D2322" s="52"/>
      <c r="E2322" s="52"/>
    </row>
    <row r="2323" spans="4:5" x14ac:dyDescent="0.2">
      <c r="D2323" s="52"/>
      <c r="E2323" s="52"/>
    </row>
    <row r="2324" spans="4:5" x14ac:dyDescent="0.2">
      <c r="D2324" s="52"/>
      <c r="E2324" s="52"/>
    </row>
    <row r="2325" spans="4:5" x14ac:dyDescent="0.2">
      <c r="D2325" s="52"/>
      <c r="E2325" s="52"/>
    </row>
    <row r="2326" spans="4:5" x14ac:dyDescent="0.2">
      <c r="D2326" s="52"/>
      <c r="E2326" s="52"/>
    </row>
    <row r="2327" spans="4:5" x14ac:dyDescent="0.2">
      <c r="D2327" s="52"/>
      <c r="E2327" s="52"/>
    </row>
    <row r="2328" spans="4:5" x14ac:dyDescent="0.2">
      <c r="D2328" s="52"/>
      <c r="E2328" s="52"/>
    </row>
    <row r="2329" spans="4:5" x14ac:dyDescent="0.2">
      <c r="D2329" s="52"/>
      <c r="E2329" s="52"/>
    </row>
    <row r="2330" spans="4:5" x14ac:dyDescent="0.2">
      <c r="D2330" s="52"/>
      <c r="E2330" s="52"/>
    </row>
    <row r="2331" spans="4:5" x14ac:dyDescent="0.2">
      <c r="D2331" s="52"/>
      <c r="E2331" s="52"/>
    </row>
    <row r="2332" spans="4:5" x14ac:dyDescent="0.2">
      <c r="D2332" s="52"/>
      <c r="E2332" s="52"/>
    </row>
    <row r="2333" spans="4:5" x14ac:dyDescent="0.2">
      <c r="D2333" s="52"/>
      <c r="E2333" s="52"/>
    </row>
    <row r="2334" spans="4:5" x14ac:dyDescent="0.2">
      <c r="D2334" s="52"/>
      <c r="E2334" s="52"/>
    </row>
    <row r="2335" spans="4:5" x14ac:dyDescent="0.2">
      <c r="D2335" s="52"/>
      <c r="E2335" s="52"/>
    </row>
    <row r="2336" spans="4:5" x14ac:dyDescent="0.2">
      <c r="D2336" s="52"/>
      <c r="E2336" s="52"/>
    </row>
    <row r="2337" spans="4:5" x14ac:dyDescent="0.2">
      <c r="D2337" s="52"/>
      <c r="E2337" s="52"/>
    </row>
    <row r="2338" spans="4:5" x14ac:dyDescent="0.2">
      <c r="D2338" s="52"/>
      <c r="E2338" s="52"/>
    </row>
    <row r="2339" spans="4:5" x14ac:dyDescent="0.2">
      <c r="D2339" s="52"/>
      <c r="E2339" s="52"/>
    </row>
    <row r="2340" spans="4:5" x14ac:dyDescent="0.2">
      <c r="D2340" s="52"/>
      <c r="E2340" s="52"/>
    </row>
    <row r="2341" spans="4:5" x14ac:dyDescent="0.2">
      <c r="D2341" s="52"/>
      <c r="E2341" s="52"/>
    </row>
    <row r="2342" spans="4:5" x14ac:dyDescent="0.2">
      <c r="D2342" s="52"/>
      <c r="E2342" s="52"/>
    </row>
    <row r="2343" spans="4:5" x14ac:dyDescent="0.2">
      <c r="D2343" s="52"/>
      <c r="E2343" s="52"/>
    </row>
    <row r="2344" spans="4:5" x14ac:dyDescent="0.2">
      <c r="D2344" s="52"/>
      <c r="E2344" s="52"/>
    </row>
    <row r="2345" spans="4:5" x14ac:dyDescent="0.2">
      <c r="D2345" s="52"/>
      <c r="E2345" s="52"/>
    </row>
    <row r="2346" spans="4:5" x14ac:dyDescent="0.2">
      <c r="D2346" s="52"/>
      <c r="E2346" s="52"/>
    </row>
    <row r="2347" spans="4:5" x14ac:dyDescent="0.2">
      <c r="D2347" s="52"/>
      <c r="E2347" s="52"/>
    </row>
    <row r="2348" spans="4:5" x14ac:dyDescent="0.2">
      <c r="D2348" s="52"/>
      <c r="E2348" s="52"/>
    </row>
    <row r="2349" spans="4:5" x14ac:dyDescent="0.2">
      <c r="D2349" s="52"/>
      <c r="E2349" s="52"/>
    </row>
    <row r="2350" spans="4:5" x14ac:dyDescent="0.2">
      <c r="D2350" s="52"/>
      <c r="E2350" s="52"/>
    </row>
    <row r="2351" spans="4:5" x14ac:dyDescent="0.2">
      <c r="D2351" s="52"/>
      <c r="E2351" s="52"/>
    </row>
    <row r="2352" spans="4:5" x14ac:dyDescent="0.2">
      <c r="D2352" s="52"/>
      <c r="E2352" s="52"/>
    </row>
    <row r="2353" spans="4:5" x14ac:dyDescent="0.2">
      <c r="D2353" s="52"/>
      <c r="E2353" s="52"/>
    </row>
    <row r="2354" spans="4:5" x14ac:dyDescent="0.2">
      <c r="D2354" s="52"/>
      <c r="E2354" s="52"/>
    </row>
    <row r="2355" spans="4:5" x14ac:dyDescent="0.2">
      <c r="D2355" s="52"/>
      <c r="E2355" s="52"/>
    </row>
    <row r="2356" spans="4:5" x14ac:dyDescent="0.2">
      <c r="D2356" s="52"/>
      <c r="E2356" s="52"/>
    </row>
    <row r="2357" spans="4:5" x14ac:dyDescent="0.2">
      <c r="D2357" s="52"/>
      <c r="E2357" s="52"/>
    </row>
    <row r="2358" spans="4:5" x14ac:dyDescent="0.2">
      <c r="D2358" s="52"/>
      <c r="E2358" s="52"/>
    </row>
    <row r="2359" spans="4:5" x14ac:dyDescent="0.2">
      <c r="D2359" s="52"/>
      <c r="E2359" s="52"/>
    </row>
    <row r="2360" spans="4:5" x14ac:dyDescent="0.2">
      <c r="D2360" s="52"/>
      <c r="E2360" s="52"/>
    </row>
    <row r="2361" spans="4:5" x14ac:dyDescent="0.2">
      <c r="D2361" s="52"/>
      <c r="E2361" s="52"/>
    </row>
    <row r="2362" spans="4:5" x14ac:dyDescent="0.2">
      <c r="D2362" s="52"/>
      <c r="E2362" s="52"/>
    </row>
    <row r="2363" spans="4:5" x14ac:dyDescent="0.2">
      <c r="D2363" s="52"/>
      <c r="E2363" s="52"/>
    </row>
    <row r="2364" spans="4:5" x14ac:dyDescent="0.2">
      <c r="D2364" s="52"/>
      <c r="E2364" s="52"/>
    </row>
    <row r="2365" spans="4:5" x14ac:dyDescent="0.2">
      <c r="D2365" s="52"/>
      <c r="E2365" s="52"/>
    </row>
    <row r="2366" spans="4:5" x14ac:dyDescent="0.2">
      <c r="D2366" s="52"/>
      <c r="E2366" s="52"/>
    </row>
    <row r="2367" spans="4:5" x14ac:dyDescent="0.2">
      <c r="D2367" s="52"/>
      <c r="E2367" s="52"/>
    </row>
    <row r="2368" spans="4:5" x14ac:dyDescent="0.2">
      <c r="D2368" s="52"/>
      <c r="E2368" s="52"/>
    </row>
    <row r="2369" spans="4:5" x14ac:dyDescent="0.2">
      <c r="D2369" s="52"/>
      <c r="E2369" s="52"/>
    </row>
    <row r="2370" spans="4:5" x14ac:dyDescent="0.2">
      <c r="D2370" s="52"/>
      <c r="E2370" s="52"/>
    </row>
    <row r="2371" spans="4:5" x14ac:dyDescent="0.2">
      <c r="D2371" s="52"/>
      <c r="E2371" s="52"/>
    </row>
    <row r="2372" spans="4:5" x14ac:dyDescent="0.2">
      <c r="D2372" s="52"/>
      <c r="E2372" s="52"/>
    </row>
    <row r="2373" spans="4:5" x14ac:dyDescent="0.2">
      <c r="D2373" s="52"/>
      <c r="E2373" s="52"/>
    </row>
    <row r="2374" spans="4:5" x14ac:dyDescent="0.2">
      <c r="D2374" s="52"/>
      <c r="E2374" s="52"/>
    </row>
    <row r="2375" spans="4:5" x14ac:dyDescent="0.2">
      <c r="D2375" s="52"/>
      <c r="E2375" s="52"/>
    </row>
    <row r="2376" spans="4:5" x14ac:dyDescent="0.2">
      <c r="D2376" s="52"/>
      <c r="E2376" s="52"/>
    </row>
    <row r="2377" spans="4:5" x14ac:dyDescent="0.2">
      <c r="D2377" s="52"/>
      <c r="E2377" s="52"/>
    </row>
    <row r="2378" spans="4:5" x14ac:dyDescent="0.2">
      <c r="D2378" s="52"/>
      <c r="E2378" s="52"/>
    </row>
    <row r="2379" spans="4:5" x14ac:dyDescent="0.2">
      <c r="D2379" s="52"/>
      <c r="E2379" s="52"/>
    </row>
    <row r="2380" spans="4:5" x14ac:dyDescent="0.2">
      <c r="D2380" s="52"/>
      <c r="E2380" s="52"/>
    </row>
    <row r="2381" spans="4:5" x14ac:dyDescent="0.2">
      <c r="D2381" s="52"/>
      <c r="E2381" s="52"/>
    </row>
    <row r="2382" spans="4:5" x14ac:dyDescent="0.2">
      <c r="D2382" s="52"/>
      <c r="E2382" s="52"/>
    </row>
    <row r="2383" spans="4:5" x14ac:dyDescent="0.2">
      <c r="D2383" s="52"/>
      <c r="E2383" s="52"/>
    </row>
    <row r="2384" spans="4:5" x14ac:dyDescent="0.2">
      <c r="D2384" s="52"/>
      <c r="E2384" s="52"/>
    </row>
    <row r="2385" spans="4:5" x14ac:dyDescent="0.2">
      <c r="D2385" s="52"/>
      <c r="E2385" s="52"/>
    </row>
    <row r="2386" spans="4:5" x14ac:dyDescent="0.2">
      <c r="D2386" s="52"/>
      <c r="E2386" s="52"/>
    </row>
    <row r="2387" spans="4:5" x14ac:dyDescent="0.2">
      <c r="D2387" s="52"/>
      <c r="E2387" s="52"/>
    </row>
    <row r="2388" spans="4:5" x14ac:dyDescent="0.2">
      <c r="D2388" s="52"/>
      <c r="E2388" s="52"/>
    </row>
    <row r="2389" spans="4:5" x14ac:dyDescent="0.2">
      <c r="D2389" s="52"/>
      <c r="E2389" s="52"/>
    </row>
    <row r="2390" spans="4:5" x14ac:dyDescent="0.2">
      <c r="D2390" s="52"/>
      <c r="E2390" s="52"/>
    </row>
    <row r="2391" spans="4:5" x14ac:dyDescent="0.2">
      <c r="D2391" s="52"/>
      <c r="E2391" s="52"/>
    </row>
    <row r="2392" spans="4:5" x14ac:dyDescent="0.2">
      <c r="D2392" s="52"/>
      <c r="E2392" s="52"/>
    </row>
    <row r="2393" spans="4:5" x14ac:dyDescent="0.2">
      <c r="D2393" s="52"/>
      <c r="E2393" s="52"/>
    </row>
    <row r="2394" spans="4:5" x14ac:dyDescent="0.2">
      <c r="D2394" s="52"/>
      <c r="E2394" s="52"/>
    </row>
    <row r="2395" spans="4:5" x14ac:dyDescent="0.2">
      <c r="D2395" s="52"/>
      <c r="E2395" s="52"/>
    </row>
    <row r="2396" spans="4:5" x14ac:dyDescent="0.2">
      <c r="D2396" s="52"/>
      <c r="E2396" s="52"/>
    </row>
    <row r="2397" spans="4:5" x14ac:dyDescent="0.2">
      <c r="D2397" s="52"/>
      <c r="E2397" s="52"/>
    </row>
    <row r="2398" spans="4:5" x14ac:dyDescent="0.2">
      <c r="D2398" s="52"/>
      <c r="E2398" s="52"/>
    </row>
    <row r="2399" spans="4:5" x14ac:dyDescent="0.2">
      <c r="D2399" s="52"/>
      <c r="E2399" s="52"/>
    </row>
    <row r="2400" spans="4:5" x14ac:dyDescent="0.2">
      <c r="D2400" s="52"/>
      <c r="E2400" s="52"/>
    </row>
    <row r="2401" spans="4:5" x14ac:dyDescent="0.2">
      <c r="D2401" s="52"/>
      <c r="E2401" s="52"/>
    </row>
    <row r="2402" spans="4:5" x14ac:dyDescent="0.2">
      <c r="D2402" s="52"/>
      <c r="E2402" s="52"/>
    </row>
    <row r="2403" spans="4:5" x14ac:dyDescent="0.2">
      <c r="D2403" s="52"/>
      <c r="E2403" s="52"/>
    </row>
    <row r="2404" spans="4:5" x14ac:dyDescent="0.2">
      <c r="D2404" s="52"/>
      <c r="E2404" s="52"/>
    </row>
    <row r="2405" spans="4:5" x14ac:dyDescent="0.2">
      <c r="D2405" s="52"/>
      <c r="E2405" s="52"/>
    </row>
    <row r="2406" spans="4:5" x14ac:dyDescent="0.2">
      <c r="D2406" s="52"/>
      <c r="E2406" s="52"/>
    </row>
    <row r="2407" spans="4:5" x14ac:dyDescent="0.2">
      <c r="D2407" s="52"/>
      <c r="E2407" s="52"/>
    </row>
    <row r="2408" spans="4:5" x14ac:dyDescent="0.2">
      <c r="D2408" s="52"/>
      <c r="E2408" s="52"/>
    </row>
    <row r="2409" spans="4:5" x14ac:dyDescent="0.2">
      <c r="D2409" s="52"/>
      <c r="E2409" s="52"/>
    </row>
    <row r="2410" spans="4:5" x14ac:dyDescent="0.2">
      <c r="D2410" s="52"/>
      <c r="E2410" s="52"/>
    </row>
    <row r="2411" spans="4:5" x14ac:dyDescent="0.2">
      <c r="D2411" s="52"/>
      <c r="E2411" s="52"/>
    </row>
    <row r="2412" spans="4:5" x14ac:dyDescent="0.2">
      <c r="D2412" s="52"/>
      <c r="E2412" s="52"/>
    </row>
    <row r="2413" spans="4:5" x14ac:dyDescent="0.2">
      <c r="D2413" s="52"/>
      <c r="E2413" s="52"/>
    </row>
    <row r="2414" spans="4:5" x14ac:dyDescent="0.2">
      <c r="D2414" s="52"/>
      <c r="E2414" s="52"/>
    </row>
    <row r="2415" spans="4:5" x14ac:dyDescent="0.2">
      <c r="D2415" s="52"/>
      <c r="E2415" s="52"/>
    </row>
    <row r="2416" spans="4:5" x14ac:dyDescent="0.2">
      <c r="D2416" s="52"/>
      <c r="E2416" s="52"/>
    </row>
    <row r="2417" spans="4:5" x14ac:dyDescent="0.2">
      <c r="D2417" s="52"/>
      <c r="E2417" s="52"/>
    </row>
    <row r="2418" spans="4:5" x14ac:dyDescent="0.2">
      <c r="D2418" s="52"/>
      <c r="E2418" s="52"/>
    </row>
    <row r="2419" spans="4:5" x14ac:dyDescent="0.2">
      <c r="D2419" s="52"/>
      <c r="E2419" s="52"/>
    </row>
    <row r="2420" spans="4:5" x14ac:dyDescent="0.2">
      <c r="D2420" s="52"/>
      <c r="E2420" s="52"/>
    </row>
    <row r="2421" spans="4:5" x14ac:dyDescent="0.2">
      <c r="D2421" s="52"/>
      <c r="E2421" s="52"/>
    </row>
    <row r="2422" spans="4:5" x14ac:dyDescent="0.2">
      <c r="D2422" s="52"/>
      <c r="E2422" s="52"/>
    </row>
    <row r="2423" spans="4:5" x14ac:dyDescent="0.2">
      <c r="D2423" s="52"/>
      <c r="E2423" s="52"/>
    </row>
    <row r="2424" spans="4:5" x14ac:dyDescent="0.2">
      <c r="D2424" s="52"/>
      <c r="E2424" s="52"/>
    </row>
    <row r="2425" spans="4:5" x14ac:dyDescent="0.2">
      <c r="D2425" s="52"/>
      <c r="E2425" s="52"/>
    </row>
    <row r="2426" spans="4:5" x14ac:dyDescent="0.2">
      <c r="D2426" s="52"/>
      <c r="E2426" s="52"/>
    </row>
    <row r="2427" spans="4:5" x14ac:dyDescent="0.2">
      <c r="D2427" s="52"/>
      <c r="E2427" s="52"/>
    </row>
    <row r="2428" spans="4:5" x14ac:dyDescent="0.2">
      <c r="D2428" s="52"/>
      <c r="E2428" s="52"/>
    </row>
    <row r="2429" spans="4:5" x14ac:dyDescent="0.2">
      <c r="D2429" s="52"/>
      <c r="E2429" s="52"/>
    </row>
    <row r="2430" spans="4:5" x14ac:dyDescent="0.2">
      <c r="D2430" s="52"/>
      <c r="E2430" s="52"/>
    </row>
    <row r="2431" spans="4:5" x14ac:dyDescent="0.2">
      <c r="D2431" s="52"/>
      <c r="E2431" s="52"/>
    </row>
    <row r="2432" spans="4:5" x14ac:dyDescent="0.2">
      <c r="D2432" s="52"/>
      <c r="E2432" s="52"/>
    </row>
    <row r="2433" spans="4:5" x14ac:dyDescent="0.2">
      <c r="D2433" s="52"/>
      <c r="E2433" s="52"/>
    </row>
    <row r="2434" spans="4:5" x14ac:dyDescent="0.2">
      <c r="D2434" s="52"/>
      <c r="E2434" s="52"/>
    </row>
    <row r="2435" spans="4:5" x14ac:dyDescent="0.2">
      <c r="D2435" s="52"/>
      <c r="E2435" s="52"/>
    </row>
    <row r="2436" spans="4:5" x14ac:dyDescent="0.2">
      <c r="D2436" s="52"/>
      <c r="E2436" s="52"/>
    </row>
    <row r="2437" spans="4:5" x14ac:dyDescent="0.2">
      <c r="D2437" s="52"/>
      <c r="E2437" s="52"/>
    </row>
    <row r="2438" spans="4:5" x14ac:dyDescent="0.2">
      <c r="D2438" s="52"/>
      <c r="E2438" s="52"/>
    </row>
    <row r="2439" spans="4:5" x14ac:dyDescent="0.2">
      <c r="D2439" s="52"/>
      <c r="E2439" s="52"/>
    </row>
    <row r="2440" spans="4:5" x14ac:dyDescent="0.2">
      <c r="D2440" s="52"/>
      <c r="E2440" s="52"/>
    </row>
    <row r="2441" spans="4:5" x14ac:dyDescent="0.2">
      <c r="D2441" s="52"/>
      <c r="E2441" s="52"/>
    </row>
    <row r="2442" spans="4:5" x14ac:dyDescent="0.2">
      <c r="D2442" s="52"/>
      <c r="E2442" s="52"/>
    </row>
    <row r="2443" spans="4:5" x14ac:dyDescent="0.2">
      <c r="D2443" s="52"/>
      <c r="E2443" s="52"/>
    </row>
    <row r="2444" spans="4:5" x14ac:dyDescent="0.2">
      <c r="D2444" s="52"/>
      <c r="E2444" s="52"/>
    </row>
    <row r="2445" spans="4:5" x14ac:dyDescent="0.2">
      <c r="D2445" s="52"/>
      <c r="E2445" s="52"/>
    </row>
    <row r="2446" spans="4:5" x14ac:dyDescent="0.2">
      <c r="D2446" s="52"/>
      <c r="E2446" s="52"/>
    </row>
    <row r="2447" spans="4:5" x14ac:dyDescent="0.2">
      <c r="D2447" s="52"/>
      <c r="E2447" s="52"/>
    </row>
    <row r="2448" spans="4:5" x14ac:dyDescent="0.2">
      <c r="D2448" s="52"/>
      <c r="E2448" s="52"/>
    </row>
    <row r="2449" spans="4:5" x14ac:dyDescent="0.2">
      <c r="D2449" s="52"/>
      <c r="E2449" s="52"/>
    </row>
    <row r="2450" spans="4:5" x14ac:dyDescent="0.2">
      <c r="D2450" s="52"/>
      <c r="E2450" s="52"/>
    </row>
    <row r="2451" spans="4:5" x14ac:dyDescent="0.2">
      <c r="D2451" s="52"/>
      <c r="E2451" s="52"/>
    </row>
    <row r="2452" spans="4:5" x14ac:dyDescent="0.2">
      <c r="D2452" s="52"/>
      <c r="E2452" s="52"/>
    </row>
    <row r="2453" spans="4:5" x14ac:dyDescent="0.2">
      <c r="D2453" s="52"/>
      <c r="E2453" s="52"/>
    </row>
    <row r="2454" spans="4:5" x14ac:dyDescent="0.2">
      <c r="D2454" s="52"/>
      <c r="E2454" s="52"/>
    </row>
    <row r="2455" spans="4:5" x14ac:dyDescent="0.2">
      <c r="D2455" s="52"/>
      <c r="E2455" s="52"/>
    </row>
    <row r="2456" spans="4:5" x14ac:dyDescent="0.2">
      <c r="D2456" s="52"/>
      <c r="E2456" s="52"/>
    </row>
    <row r="2457" spans="4:5" x14ac:dyDescent="0.2">
      <c r="D2457" s="52"/>
      <c r="E2457" s="52"/>
    </row>
    <row r="2458" spans="4:5" x14ac:dyDescent="0.2">
      <c r="D2458" s="52"/>
      <c r="E2458" s="52"/>
    </row>
    <row r="2459" spans="4:5" x14ac:dyDescent="0.2">
      <c r="D2459" s="52"/>
      <c r="E2459" s="52"/>
    </row>
    <row r="2460" spans="4:5" x14ac:dyDescent="0.2">
      <c r="D2460" s="52"/>
      <c r="E2460" s="52"/>
    </row>
    <row r="2461" spans="4:5" x14ac:dyDescent="0.2">
      <c r="D2461" s="52"/>
      <c r="E2461" s="52"/>
    </row>
    <row r="2462" spans="4:5" x14ac:dyDescent="0.2">
      <c r="D2462" s="52"/>
      <c r="E2462" s="52"/>
    </row>
    <row r="2463" spans="4:5" x14ac:dyDescent="0.2">
      <c r="D2463" s="52"/>
      <c r="E2463" s="52"/>
    </row>
    <row r="2464" spans="4:5" x14ac:dyDescent="0.2">
      <c r="D2464" s="52"/>
      <c r="E2464" s="52"/>
    </row>
    <row r="2465" spans="4:5" x14ac:dyDescent="0.2">
      <c r="D2465" s="52"/>
      <c r="E2465" s="52"/>
    </row>
    <row r="2466" spans="4:5" x14ac:dyDescent="0.2">
      <c r="D2466" s="52"/>
      <c r="E2466" s="52"/>
    </row>
    <row r="2467" spans="4:5" x14ac:dyDescent="0.2">
      <c r="D2467" s="52"/>
      <c r="E2467" s="52"/>
    </row>
    <row r="2468" spans="4:5" x14ac:dyDescent="0.2">
      <c r="D2468" s="52"/>
      <c r="E2468" s="52"/>
    </row>
    <row r="2469" spans="4:5" x14ac:dyDescent="0.2">
      <c r="D2469" s="52"/>
      <c r="E2469" s="52"/>
    </row>
    <row r="2470" spans="4:5" x14ac:dyDescent="0.2">
      <c r="D2470" s="52"/>
      <c r="E2470" s="52"/>
    </row>
    <row r="2471" spans="4:5" x14ac:dyDescent="0.2">
      <c r="D2471" s="52"/>
      <c r="E2471" s="52"/>
    </row>
    <row r="2472" spans="4:5" x14ac:dyDescent="0.2">
      <c r="D2472" s="52"/>
      <c r="E2472" s="52"/>
    </row>
    <row r="2473" spans="4:5" x14ac:dyDescent="0.2">
      <c r="D2473" s="52"/>
      <c r="E2473" s="52"/>
    </row>
    <row r="2474" spans="4:5" x14ac:dyDescent="0.2">
      <c r="D2474" s="52"/>
      <c r="E2474" s="52"/>
    </row>
    <row r="2475" spans="4:5" x14ac:dyDescent="0.2">
      <c r="D2475" s="52"/>
      <c r="E2475" s="52"/>
    </row>
    <row r="2476" spans="4:5" x14ac:dyDescent="0.2">
      <c r="D2476" s="52"/>
      <c r="E2476" s="52"/>
    </row>
    <row r="2477" spans="4:5" x14ac:dyDescent="0.2">
      <c r="D2477" s="52"/>
      <c r="E2477" s="52"/>
    </row>
    <row r="2478" spans="4:5" x14ac:dyDescent="0.2">
      <c r="D2478" s="52"/>
      <c r="E2478" s="52"/>
    </row>
    <row r="2479" spans="4:5" x14ac:dyDescent="0.2">
      <c r="D2479" s="52"/>
      <c r="E2479" s="52"/>
    </row>
    <row r="2480" spans="4:5" x14ac:dyDescent="0.2">
      <c r="D2480" s="52"/>
      <c r="E2480" s="52"/>
    </row>
    <row r="2481" spans="4:5" x14ac:dyDescent="0.2">
      <c r="D2481" s="52"/>
      <c r="E2481" s="52"/>
    </row>
    <row r="2482" spans="4:5" x14ac:dyDescent="0.2">
      <c r="D2482" s="52"/>
      <c r="E2482" s="52"/>
    </row>
    <row r="2483" spans="4:5" x14ac:dyDescent="0.2">
      <c r="D2483" s="52"/>
      <c r="E2483" s="52"/>
    </row>
    <row r="2484" spans="4:5" x14ac:dyDescent="0.2">
      <c r="D2484" s="52"/>
      <c r="E2484" s="52"/>
    </row>
    <row r="2485" spans="4:5" x14ac:dyDescent="0.2">
      <c r="D2485" s="52"/>
      <c r="E2485" s="52"/>
    </row>
    <row r="2486" spans="4:5" x14ac:dyDescent="0.2">
      <c r="D2486" s="52"/>
      <c r="E2486" s="52"/>
    </row>
    <row r="2487" spans="4:5" x14ac:dyDescent="0.2">
      <c r="D2487" s="52"/>
      <c r="E2487" s="52"/>
    </row>
    <row r="2488" spans="4:5" x14ac:dyDescent="0.2">
      <c r="D2488" s="52"/>
      <c r="E2488" s="52"/>
    </row>
    <row r="2489" spans="4:5" x14ac:dyDescent="0.2">
      <c r="D2489" s="52"/>
      <c r="E2489" s="52"/>
    </row>
    <row r="2490" spans="4:5" x14ac:dyDescent="0.2">
      <c r="D2490" s="52"/>
      <c r="E2490" s="52"/>
    </row>
    <row r="2491" spans="4:5" x14ac:dyDescent="0.2">
      <c r="D2491" s="52"/>
      <c r="E2491" s="52"/>
    </row>
    <row r="2492" spans="4:5" x14ac:dyDescent="0.2">
      <c r="D2492" s="52"/>
      <c r="E2492" s="52"/>
    </row>
    <row r="2493" spans="4:5" x14ac:dyDescent="0.2">
      <c r="D2493" s="52"/>
      <c r="E2493" s="52"/>
    </row>
    <row r="2494" spans="4:5" x14ac:dyDescent="0.2">
      <c r="D2494" s="52"/>
      <c r="E2494" s="52"/>
    </row>
    <row r="2495" spans="4:5" x14ac:dyDescent="0.2">
      <c r="D2495" s="52"/>
      <c r="E2495" s="52"/>
    </row>
    <row r="2496" spans="4:5" x14ac:dyDescent="0.2">
      <c r="D2496" s="52"/>
      <c r="E2496" s="52"/>
    </row>
    <row r="2497" spans="4:5" x14ac:dyDescent="0.2">
      <c r="D2497" s="52"/>
      <c r="E2497" s="52"/>
    </row>
    <row r="2498" spans="4:5" x14ac:dyDescent="0.2">
      <c r="D2498" s="52"/>
      <c r="E2498" s="52"/>
    </row>
    <row r="2499" spans="4:5" x14ac:dyDescent="0.2">
      <c r="D2499" s="52"/>
      <c r="E2499" s="52"/>
    </row>
    <row r="2500" spans="4:5" x14ac:dyDescent="0.2">
      <c r="D2500" s="52"/>
      <c r="E2500" s="52"/>
    </row>
    <row r="2501" spans="4:5" x14ac:dyDescent="0.2">
      <c r="D2501" s="52"/>
      <c r="E2501" s="52"/>
    </row>
    <row r="2502" spans="4:5" x14ac:dyDescent="0.2">
      <c r="D2502" s="52"/>
      <c r="E2502" s="52"/>
    </row>
    <row r="2503" spans="4:5" x14ac:dyDescent="0.2">
      <c r="D2503" s="52"/>
      <c r="E2503" s="52"/>
    </row>
    <row r="2504" spans="4:5" x14ac:dyDescent="0.2">
      <c r="D2504" s="52"/>
      <c r="E2504" s="52"/>
    </row>
    <row r="2505" spans="4:5" x14ac:dyDescent="0.2">
      <c r="D2505" s="52"/>
      <c r="E2505" s="52"/>
    </row>
    <row r="2506" spans="4:5" x14ac:dyDescent="0.2">
      <c r="D2506" s="52"/>
      <c r="E2506" s="52"/>
    </row>
    <row r="2507" spans="4:5" x14ac:dyDescent="0.2">
      <c r="D2507" s="52"/>
      <c r="E2507" s="52"/>
    </row>
    <row r="2508" spans="4:5" x14ac:dyDescent="0.2">
      <c r="D2508" s="52"/>
      <c r="E2508" s="52"/>
    </row>
    <row r="2509" spans="4:5" x14ac:dyDescent="0.2">
      <c r="D2509" s="52"/>
      <c r="E2509" s="52"/>
    </row>
    <row r="2510" spans="4:5" x14ac:dyDescent="0.2">
      <c r="D2510" s="52"/>
      <c r="E2510" s="52"/>
    </row>
    <row r="2511" spans="4:5" x14ac:dyDescent="0.2">
      <c r="D2511" s="52"/>
      <c r="E2511" s="52"/>
    </row>
    <row r="2512" spans="4:5" x14ac:dyDescent="0.2">
      <c r="D2512" s="52"/>
      <c r="E2512" s="52"/>
    </row>
    <row r="2513" spans="4:5" x14ac:dyDescent="0.2">
      <c r="D2513" s="52"/>
      <c r="E2513" s="52"/>
    </row>
    <row r="2514" spans="4:5" x14ac:dyDescent="0.2">
      <c r="D2514" s="52"/>
      <c r="E2514" s="52"/>
    </row>
    <row r="2515" spans="4:5" x14ac:dyDescent="0.2">
      <c r="D2515" s="52"/>
      <c r="E2515" s="52"/>
    </row>
    <row r="2516" spans="4:5" x14ac:dyDescent="0.2">
      <c r="D2516" s="52"/>
      <c r="E2516" s="52"/>
    </row>
    <row r="2517" spans="4:5" x14ac:dyDescent="0.2">
      <c r="D2517" s="52"/>
      <c r="E2517" s="52"/>
    </row>
    <row r="2518" spans="4:5" x14ac:dyDescent="0.2">
      <c r="D2518" s="52"/>
      <c r="E2518" s="52"/>
    </row>
    <row r="2519" spans="4:5" x14ac:dyDescent="0.2">
      <c r="D2519" s="52"/>
      <c r="E2519" s="52"/>
    </row>
    <row r="2520" spans="4:5" x14ac:dyDescent="0.2">
      <c r="D2520" s="52"/>
      <c r="E2520" s="52"/>
    </row>
    <row r="2521" spans="4:5" x14ac:dyDescent="0.2">
      <c r="D2521" s="52"/>
      <c r="E2521" s="52"/>
    </row>
    <row r="2522" spans="4:5" x14ac:dyDescent="0.2">
      <c r="D2522" s="52"/>
      <c r="E2522" s="52"/>
    </row>
    <row r="2523" spans="4:5" x14ac:dyDescent="0.2">
      <c r="D2523" s="52"/>
      <c r="E2523" s="52"/>
    </row>
    <row r="2524" spans="4:5" x14ac:dyDescent="0.2">
      <c r="D2524" s="52"/>
      <c r="E2524" s="52"/>
    </row>
    <row r="2525" spans="4:5" x14ac:dyDescent="0.2">
      <c r="D2525" s="52"/>
      <c r="E2525" s="52"/>
    </row>
    <row r="2526" spans="4:5" x14ac:dyDescent="0.2">
      <c r="D2526" s="52"/>
      <c r="E2526" s="52"/>
    </row>
    <row r="2527" spans="4:5" x14ac:dyDescent="0.2">
      <c r="D2527" s="52"/>
      <c r="E2527" s="52"/>
    </row>
    <row r="2528" spans="4:5" x14ac:dyDescent="0.2">
      <c r="D2528" s="52"/>
      <c r="E2528" s="52"/>
    </row>
    <row r="2529" spans="4:5" x14ac:dyDescent="0.2">
      <c r="D2529" s="52"/>
      <c r="E2529" s="52"/>
    </row>
    <row r="2530" spans="4:5" x14ac:dyDescent="0.2">
      <c r="D2530" s="52"/>
      <c r="E2530" s="52"/>
    </row>
    <row r="2531" spans="4:5" x14ac:dyDescent="0.2">
      <c r="D2531" s="52"/>
      <c r="E2531" s="52"/>
    </row>
    <row r="2532" spans="4:5" x14ac:dyDescent="0.2">
      <c r="D2532" s="52"/>
      <c r="E2532" s="52"/>
    </row>
    <row r="2533" spans="4:5" x14ac:dyDescent="0.2">
      <c r="D2533" s="52"/>
      <c r="E2533" s="52"/>
    </row>
    <row r="2534" spans="4:5" x14ac:dyDescent="0.2">
      <c r="D2534" s="52"/>
      <c r="E2534" s="52"/>
    </row>
    <row r="2535" spans="4:5" x14ac:dyDescent="0.2">
      <c r="D2535" s="52"/>
      <c r="E2535" s="52"/>
    </row>
    <row r="2536" spans="4:5" x14ac:dyDescent="0.2">
      <c r="D2536" s="52"/>
      <c r="E2536" s="52"/>
    </row>
    <row r="2537" spans="4:5" x14ac:dyDescent="0.2">
      <c r="D2537" s="52"/>
      <c r="E2537" s="52"/>
    </row>
    <row r="2538" spans="4:5" x14ac:dyDescent="0.2">
      <c r="D2538" s="52"/>
      <c r="E2538" s="52"/>
    </row>
    <row r="2539" spans="4:5" x14ac:dyDescent="0.2">
      <c r="D2539" s="52"/>
      <c r="E2539" s="52"/>
    </row>
    <row r="2540" spans="4:5" x14ac:dyDescent="0.2">
      <c r="D2540" s="52"/>
      <c r="E2540" s="52"/>
    </row>
    <row r="2541" spans="4:5" x14ac:dyDescent="0.2">
      <c r="D2541" s="52"/>
      <c r="E2541" s="52"/>
    </row>
    <row r="2542" spans="4:5" x14ac:dyDescent="0.2">
      <c r="D2542" s="52"/>
      <c r="E2542" s="52"/>
    </row>
    <row r="2543" spans="4:5" x14ac:dyDescent="0.2">
      <c r="D2543" s="52"/>
      <c r="E2543" s="52"/>
    </row>
    <row r="2544" spans="4:5" x14ac:dyDescent="0.2">
      <c r="D2544" s="52"/>
      <c r="E2544" s="52"/>
    </row>
    <row r="2545" spans="4:5" x14ac:dyDescent="0.2">
      <c r="D2545" s="52"/>
      <c r="E2545" s="52"/>
    </row>
    <row r="2546" spans="4:5" x14ac:dyDescent="0.2">
      <c r="D2546" s="52"/>
      <c r="E2546" s="52"/>
    </row>
    <row r="2547" spans="4:5" x14ac:dyDescent="0.2">
      <c r="D2547" s="52"/>
      <c r="E2547" s="52"/>
    </row>
    <row r="2548" spans="4:5" x14ac:dyDescent="0.2">
      <c r="D2548" s="52"/>
      <c r="E2548" s="52"/>
    </row>
    <row r="2549" spans="4:5" x14ac:dyDescent="0.2">
      <c r="D2549" s="52"/>
      <c r="E2549" s="52"/>
    </row>
    <row r="2550" spans="4:5" x14ac:dyDescent="0.2">
      <c r="D2550" s="52"/>
      <c r="E2550" s="52"/>
    </row>
    <row r="2551" spans="4:5" x14ac:dyDescent="0.2">
      <c r="D2551" s="52"/>
      <c r="E2551" s="52"/>
    </row>
    <row r="2552" spans="4:5" x14ac:dyDescent="0.2">
      <c r="D2552" s="52"/>
      <c r="E2552" s="52"/>
    </row>
    <row r="2553" spans="4:5" x14ac:dyDescent="0.2">
      <c r="D2553" s="52"/>
      <c r="E2553" s="52"/>
    </row>
    <row r="2554" spans="4:5" x14ac:dyDescent="0.2">
      <c r="D2554" s="52"/>
      <c r="E2554" s="52"/>
    </row>
    <row r="2555" spans="4:5" x14ac:dyDescent="0.2">
      <c r="D2555" s="52"/>
      <c r="E2555" s="52"/>
    </row>
    <row r="2556" spans="4:5" x14ac:dyDescent="0.2">
      <c r="D2556" s="52"/>
      <c r="E2556" s="52"/>
    </row>
    <row r="2557" spans="4:5" x14ac:dyDescent="0.2">
      <c r="D2557" s="52"/>
      <c r="E2557" s="52"/>
    </row>
    <row r="2558" spans="4:5" x14ac:dyDescent="0.2">
      <c r="D2558" s="52"/>
      <c r="E2558" s="52"/>
    </row>
    <row r="2559" spans="4:5" x14ac:dyDescent="0.2">
      <c r="D2559" s="52"/>
      <c r="E2559" s="52"/>
    </row>
    <row r="2560" spans="4:5" x14ac:dyDescent="0.2">
      <c r="D2560" s="52"/>
      <c r="E2560" s="52"/>
    </row>
    <row r="2561" spans="4:5" x14ac:dyDescent="0.2">
      <c r="D2561" s="52"/>
      <c r="E2561" s="52"/>
    </row>
    <row r="2562" spans="4:5" x14ac:dyDescent="0.2">
      <c r="D2562" s="52"/>
      <c r="E2562" s="52"/>
    </row>
    <row r="2563" spans="4:5" x14ac:dyDescent="0.2">
      <c r="D2563" s="52"/>
      <c r="E2563" s="52"/>
    </row>
    <row r="2564" spans="4:5" x14ac:dyDescent="0.2">
      <c r="D2564" s="52"/>
      <c r="E2564" s="52"/>
    </row>
    <row r="2565" spans="4:5" x14ac:dyDescent="0.2">
      <c r="D2565" s="52"/>
      <c r="E2565" s="52"/>
    </row>
    <row r="2566" spans="4:5" x14ac:dyDescent="0.2">
      <c r="D2566" s="52"/>
      <c r="E2566" s="52"/>
    </row>
    <row r="2567" spans="4:5" x14ac:dyDescent="0.2">
      <c r="D2567" s="52"/>
      <c r="E2567" s="52"/>
    </row>
    <row r="2568" spans="4:5" x14ac:dyDescent="0.2">
      <c r="D2568" s="52"/>
      <c r="E2568" s="52"/>
    </row>
    <row r="2569" spans="4:5" x14ac:dyDescent="0.2">
      <c r="D2569" s="52"/>
      <c r="E2569" s="52"/>
    </row>
    <row r="2570" spans="4:5" x14ac:dyDescent="0.2">
      <c r="D2570" s="52"/>
      <c r="E2570" s="52"/>
    </row>
    <row r="2571" spans="4:5" x14ac:dyDescent="0.2">
      <c r="D2571" s="52"/>
      <c r="E2571" s="52"/>
    </row>
    <row r="2572" spans="4:5" x14ac:dyDescent="0.2">
      <c r="D2572" s="52"/>
      <c r="E2572" s="52"/>
    </row>
    <row r="2573" spans="4:5" x14ac:dyDescent="0.2">
      <c r="D2573" s="52"/>
      <c r="E2573" s="52"/>
    </row>
    <row r="2574" spans="4:5" x14ac:dyDescent="0.2">
      <c r="D2574" s="52"/>
      <c r="E2574" s="52"/>
    </row>
    <row r="2575" spans="4:5" x14ac:dyDescent="0.2">
      <c r="D2575" s="52"/>
      <c r="E2575" s="52"/>
    </row>
    <row r="2576" spans="4:5" x14ac:dyDescent="0.2">
      <c r="D2576" s="52"/>
      <c r="E2576" s="52"/>
    </row>
    <row r="2577" spans="4:5" x14ac:dyDescent="0.2">
      <c r="D2577" s="52"/>
      <c r="E2577" s="52"/>
    </row>
    <row r="2578" spans="4:5" x14ac:dyDescent="0.2">
      <c r="D2578" s="52"/>
      <c r="E2578" s="52"/>
    </row>
    <row r="2579" spans="4:5" x14ac:dyDescent="0.2">
      <c r="D2579" s="52"/>
      <c r="E2579" s="52"/>
    </row>
    <row r="2580" spans="4:5" x14ac:dyDescent="0.2">
      <c r="D2580" s="52"/>
      <c r="E2580" s="52"/>
    </row>
    <row r="2581" spans="4:5" x14ac:dyDescent="0.2">
      <c r="D2581" s="52"/>
      <c r="E2581" s="52"/>
    </row>
    <row r="2582" spans="4:5" x14ac:dyDescent="0.2">
      <c r="D2582" s="52"/>
      <c r="E2582" s="52"/>
    </row>
    <row r="2583" spans="4:5" x14ac:dyDescent="0.2">
      <c r="D2583" s="52"/>
      <c r="E2583" s="52"/>
    </row>
    <row r="2584" spans="4:5" x14ac:dyDescent="0.2">
      <c r="D2584" s="52"/>
      <c r="E2584" s="52"/>
    </row>
    <row r="2585" spans="4:5" x14ac:dyDescent="0.2">
      <c r="D2585" s="52"/>
      <c r="E2585" s="52"/>
    </row>
    <row r="2586" spans="4:5" x14ac:dyDescent="0.2">
      <c r="D2586" s="52"/>
      <c r="E2586" s="52"/>
    </row>
    <row r="2587" spans="4:5" x14ac:dyDescent="0.2">
      <c r="D2587" s="52"/>
      <c r="E2587" s="52"/>
    </row>
    <row r="2588" spans="4:5" x14ac:dyDescent="0.2">
      <c r="D2588" s="52"/>
      <c r="E2588" s="52"/>
    </row>
    <row r="2589" spans="4:5" x14ac:dyDescent="0.2">
      <c r="D2589" s="52"/>
      <c r="E2589" s="52"/>
    </row>
    <row r="2590" spans="4:5" x14ac:dyDescent="0.2">
      <c r="D2590" s="52"/>
      <c r="E2590" s="52"/>
    </row>
    <row r="2591" spans="4:5" x14ac:dyDescent="0.2">
      <c r="D2591" s="52"/>
      <c r="E2591" s="52"/>
    </row>
    <row r="2592" spans="4:5" x14ac:dyDescent="0.2">
      <c r="D2592" s="52"/>
      <c r="E2592" s="52"/>
    </row>
    <row r="2593" spans="4:5" x14ac:dyDescent="0.2">
      <c r="D2593" s="52"/>
      <c r="E2593" s="52"/>
    </row>
    <row r="2594" spans="4:5" x14ac:dyDescent="0.2">
      <c r="D2594" s="52"/>
      <c r="E2594" s="52"/>
    </row>
    <row r="2595" spans="4:5" x14ac:dyDescent="0.2">
      <c r="D2595" s="52"/>
      <c r="E2595" s="52"/>
    </row>
    <row r="2596" spans="4:5" x14ac:dyDescent="0.2">
      <c r="D2596" s="52"/>
      <c r="E2596" s="52"/>
    </row>
    <row r="2597" spans="4:5" x14ac:dyDescent="0.2">
      <c r="D2597" s="52"/>
      <c r="E2597" s="52"/>
    </row>
    <row r="2598" spans="4:5" x14ac:dyDescent="0.2">
      <c r="D2598" s="52"/>
      <c r="E2598" s="52"/>
    </row>
    <row r="2599" spans="4:5" x14ac:dyDescent="0.2">
      <c r="D2599" s="52"/>
      <c r="E2599" s="52"/>
    </row>
    <row r="2600" spans="4:5" x14ac:dyDescent="0.2">
      <c r="D2600" s="52"/>
      <c r="E2600" s="52"/>
    </row>
    <row r="2601" spans="4:5" x14ac:dyDescent="0.2">
      <c r="D2601" s="52"/>
      <c r="E2601" s="52"/>
    </row>
    <row r="2602" spans="4:5" x14ac:dyDescent="0.2">
      <c r="D2602" s="52"/>
      <c r="E2602" s="52"/>
    </row>
    <row r="2603" spans="4:5" x14ac:dyDescent="0.2">
      <c r="D2603" s="52"/>
      <c r="E2603" s="52"/>
    </row>
    <row r="2604" spans="4:5" x14ac:dyDescent="0.2">
      <c r="D2604" s="52"/>
      <c r="E2604" s="52"/>
    </row>
    <row r="2605" spans="4:5" x14ac:dyDescent="0.2">
      <c r="D2605" s="52"/>
      <c r="E2605" s="52"/>
    </row>
    <row r="2606" spans="4:5" x14ac:dyDescent="0.2">
      <c r="D2606" s="52"/>
      <c r="E2606" s="52"/>
    </row>
    <row r="2607" spans="4:5" x14ac:dyDescent="0.2">
      <c r="D2607" s="52"/>
      <c r="E2607" s="52"/>
    </row>
    <row r="2608" spans="4:5" x14ac:dyDescent="0.2">
      <c r="D2608" s="52"/>
      <c r="E2608" s="52"/>
    </row>
    <row r="2609" spans="4:5" x14ac:dyDescent="0.2">
      <c r="D2609" s="52"/>
      <c r="E2609" s="52"/>
    </row>
    <row r="2610" spans="4:5" x14ac:dyDescent="0.2">
      <c r="D2610" s="52"/>
      <c r="E2610" s="52"/>
    </row>
    <row r="2611" spans="4:5" x14ac:dyDescent="0.2">
      <c r="D2611" s="52"/>
      <c r="E2611" s="52"/>
    </row>
    <row r="2612" spans="4:5" x14ac:dyDescent="0.2">
      <c r="D2612" s="52"/>
      <c r="E2612" s="52"/>
    </row>
    <row r="2613" spans="4:5" x14ac:dyDescent="0.2">
      <c r="D2613" s="52"/>
      <c r="E2613" s="52"/>
    </row>
    <row r="2614" spans="4:5" x14ac:dyDescent="0.2">
      <c r="D2614" s="52"/>
      <c r="E2614" s="52"/>
    </row>
    <row r="2615" spans="4:5" x14ac:dyDescent="0.2">
      <c r="D2615" s="52"/>
      <c r="E2615" s="52"/>
    </row>
    <row r="2616" spans="4:5" x14ac:dyDescent="0.2">
      <c r="D2616" s="52"/>
      <c r="E2616" s="52"/>
    </row>
    <row r="2617" spans="4:5" x14ac:dyDescent="0.2">
      <c r="D2617" s="52"/>
      <c r="E2617" s="52"/>
    </row>
    <row r="2618" spans="4:5" x14ac:dyDescent="0.2">
      <c r="D2618" s="52"/>
      <c r="E2618" s="52"/>
    </row>
    <row r="2619" spans="4:5" x14ac:dyDescent="0.2">
      <c r="D2619" s="52"/>
      <c r="E2619" s="52"/>
    </row>
    <row r="2620" spans="4:5" x14ac:dyDescent="0.2">
      <c r="D2620" s="52"/>
      <c r="E2620" s="52"/>
    </row>
    <row r="2621" spans="4:5" x14ac:dyDescent="0.2">
      <c r="D2621" s="52"/>
      <c r="E2621" s="52"/>
    </row>
    <row r="2622" spans="4:5" x14ac:dyDescent="0.2">
      <c r="D2622" s="52"/>
      <c r="E2622" s="52"/>
    </row>
    <row r="2623" spans="4:5" x14ac:dyDescent="0.2">
      <c r="D2623" s="52"/>
      <c r="E2623" s="52"/>
    </row>
    <row r="2624" spans="4:5" x14ac:dyDescent="0.2">
      <c r="D2624" s="52"/>
      <c r="E2624" s="52"/>
    </row>
    <row r="2625" spans="4:5" x14ac:dyDescent="0.2">
      <c r="D2625" s="52"/>
      <c r="E2625" s="52"/>
    </row>
    <row r="2626" spans="4:5" x14ac:dyDescent="0.2">
      <c r="D2626" s="52"/>
      <c r="E2626" s="52"/>
    </row>
    <row r="2627" spans="4:5" x14ac:dyDescent="0.2">
      <c r="D2627" s="52"/>
      <c r="E2627" s="52"/>
    </row>
    <row r="2628" spans="4:5" x14ac:dyDescent="0.2">
      <c r="D2628" s="52"/>
      <c r="E2628" s="52"/>
    </row>
    <row r="2629" spans="4:5" x14ac:dyDescent="0.2">
      <c r="D2629" s="52"/>
      <c r="E2629" s="52"/>
    </row>
    <row r="2630" spans="4:5" x14ac:dyDescent="0.2">
      <c r="D2630" s="52"/>
      <c r="E2630" s="52"/>
    </row>
    <row r="2631" spans="4:5" x14ac:dyDescent="0.2">
      <c r="D2631" s="52"/>
      <c r="E2631" s="52"/>
    </row>
    <row r="2632" spans="4:5" x14ac:dyDescent="0.2">
      <c r="D2632" s="52"/>
      <c r="E2632" s="52"/>
    </row>
    <row r="2633" spans="4:5" x14ac:dyDescent="0.2">
      <c r="D2633" s="52"/>
      <c r="E2633" s="52"/>
    </row>
    <row r="2634" spans="4:5" x14ac:dyDescent="0.2">
      <c r="D2634" s="52"/>
      <c r="E2634" s="52"/>
    </row>
    <row r="2635" spans="4:5" x14ac:dyDescent="0.2">
      <c r="D2635" s="52"/>
      <c r="E2635" s="52"/>
    </row>
    <row r="2636" spans="4:5" x14ac:dyDescent="0.2">
      <c r="D2636" s="52"/>
      <c r="E2636" s="52"/>
    </row>
    <row r="2637" spans="4:5" x14ac:dyDescent="0.2">
      <c r="D2637" s="52"/>
      <c r="E2637" s="52"/>
    </row>
    <row r="2638" spans="4:5" x14ac:dyDescent="0.2">
      <c r="D2638" s="52"/>
      <c r="E2638" s="52"/>
    </row>
    <row r="2639" spans="4:5" x14ac:dyDescent="0.2">
      <c r="D2639" s="52"/>
      <c r="E2639" s="52"/>
    </row>
    <row r="2640" spans="4:5" x14ac:dyDescent="0.2">
      <c r="D2640" s="52"/>
      <c r="E2640" s="52"/>
    </row>
    <row r="2641" spans="4:5" x14ac:dyDescent="0.2">
      <c r="D2641" s="52"/>
      <c r="E2641" s="52"/>
    </row>
    <row r="2642" spans="4:5" x14ac:dyDescent="0.2">
      <c r="D2642" s="52"/>
      <c r="E2642" s="52"/>
    </row>
    <row r="2643" spans="4:5" x14ac:dyDescent="0.2">
      <c r="D2643" s="52"/>
      <c r="E2643" s="52"/>
    </row>
    <row r="2644" spans="4:5" x14ac:dyDescent="0.2">
      <c r="D2644" s="52"/>
      <c r="E2644" s="52"/>
    </row>
    <row r="2645" spans="4:5" x14ac:dyDescent="0.2">
      <c r="D2645" s="52"/>
      <c r="E2645" s="52"/>
    </row>
    <row r="2646" spans="4:5" x14ac:dyDescent="0.2">
      <c r="D2646" s="52"/>
      <c r="E2646" s="52"/>
    </row>
    <row r="2647" spans="4:5" x14ac:dyDescent="0.2">
      <c r="D2647" s="52"/>
      <c r="E2647" s="52"/>
    </row>
    <row r="2648" spans="4:5" x14ac:dyDescent="0.2">
      <c r="D2648" s="52"/>
      <c r="E2648" s="52"/>
    </row>
    <row r="2649" spans="4:5" x14ac:dyDescent="0.2">
      <c r="D2649" s="52"/>
      <c r="E2649" s="52"/>
    </row>
    <row r="2650" spans="4:5" x14ac:dyDescent="0.2">
      <c r="D2650" s="52"/>
      <c r="E2650" s="52"/>
    </row>
    <row r="2651" spans="4:5" x14ac:dyDescent="0.2">
      <c r="D2651" s="52"/>
      <c r="E2651" s="52"/>
    </row>
    <row r="2652" spans="4:5" x14ac:dyDescent="0.2">
      <c r="D2652" s="52"/>
      <c r="E2652" s="52"/>
    </row>
    <row r="2653" spans="4:5" x14ac:dyDescent="0.2">
      <c r="D2653" s="52"/>
      <c r="E2653" s="52"/>
    </row>
    <row r="2654" spans="4:5" x14ac:dyDescent="0.2">
      <c r="D2654" s="52"/>
      <c r="E2654" s="52"/>
    </row>
    <row r="2655" spans="4:5" x14ac:dyDescent="0.2">
      <c r="D2655" s="52"/>
      <c r="E2655" s="52"/>
    </row>
    <row r="2656" spans="4:5" x14ac:dyDescent="0.2">
      <c r="D2656" s="52"/>
      <c r="E2656" s="52"/>
    </row>
    <row r="2657" spans="4:5" x14ac:dyDescent="0.2">
      <c r="D2657" s="52"/>
      <c r="E2657" s="52"/>
    </row>
    <row r="2658" spans="4:5" x14ac:dyDescent="0.2">
      <c r="D2658" s="52"/>
      <c r="E2658" s="52"/>
    </row>
    <row r="2659" spans="4:5" x14ac:dyDescent="0.2">
      <c r="D2659" s="52"/>
      <c r="E2659" s="52"/>
    </row>
    <row r="2660" spans="4:5" x14ac:dyDescent="0.2">
      <c r="D2660" s="52"/>
      <c r="E2660" s="52"/>
    </row>
    <row r="2661" spans="4:5" x14ac:dyDescent="0.2">
      <c r="D2661" s="52"/>
      <c r="E2661" s="52"/>
    </row>
    <row r="2662" spans="4:5" x14ac:dyDescent="0.2">
      <c r="D2662" s="52"/>
      <c r="E2662" s="52"/>
    </row>
    <row r="2663" spans="4:5" x14ac:dyDescent="0.2">
      <c r="D2663" s="52"/>
      <c r="E2663" s="52"/>
    </row>
    <row r="2664" spans="4:5" x14ac:dyDescent="0.2">
      <c r="D2664" s="52"/>
      <c r="E2664" s="52"/>
    </row>
    <row r="2665" spans="4:5" x14ac:dyDescent="0.2">
      <c r="D2665" s="52"/>
      <c r="E2665" s="52"/>
    </row>
    <row r="2666" spans="4:5" x14ac:dyDescent="0.2">
      <c r="D2666" s="52"/>
      <c r="E2666" s="52"/>
    </row>
    <row r="2667" spans="4:5" x14ac:dyDescent="0.2">
      <c r="D2667" s="52"/>
      <c r="E2667" s="52"/>
    </row>
    <row r="2668" spans="4:5" x14ac:dyDescent="0.2">
      <c r="D2668" s="52"/>
      <c r="E2668" s="52"/>
    </row>
    <row r="2669" spans="4:5" x14ac:dyDescent="0.2">
      <c r="D2669" s="52"/>
      <c r="E2669" s="52"/>
    </row>
    <row r="2670" spans="4:5" x14ac:dyDescent="0.2">
      <c r="D2670" s="52"/>
      <c r="E2670" s="52"/>
    </row>
    <row r="2671" spans="4:5" x14ac:dyDescent="0.2">
      <c r="D2671" s="52"/>
      <c r="E2671" s="52"/>
    </row>
    <row r="2672" spans="4:5" x14ac:dyDescent="0.2">
      <c r="D2672" s="52"/>
      <c r="E2672" s="52"/>
    </row>
    <row r="2673" spans="4:5" x14ac:dyDescent="0.2">
      <c r="D2673" s="52"/>
      <c r="E2673" s="52"/>
    </row>
    <row r="2674" spans="4:5" x14ac:dyDescent="0.2">
      <c r="D2674" s="52"/>
      <c r="E2674" s="52"/>
    </row>
    <row r="2675" spans="4:5" x14ac:dyDescent="0.2">
      <c r="D2675" s="52"/>
      <c r="E2675" s="52"/>
    </row>
    <row r="2676" spans="4:5" x14ac:dyDescent="0.2">
      <c r="D2676" s="52"/>
      <c r="E2676" s="52"/>
    </row>
    <row r="2677" spans="4:5" x14ac:dyDescent="0.2">
      <c r="D2677" s="52"/>
      <c r="E2677" s="52"/>
    </row>
    <row r="2678" spans="4:5" x14ac:dyDescent="0.2">
      <c r="D2678" s="52"/>
      <c r="E2678" s="52"/>
    </row>
    <row r="2679" spans="4:5" x14ac:dyDescent="0.2">
      <c r="D2679" s="52"/>
      <c r="E2679" s="52"/>
    </row>
    <row r="2680" spans="4:5" x14ac:dyDescent="0.2">
      <c r="D2680" s="52"/>
      <c r="E2680" s="52"/>
    </row>
    <row r="2681" spans="4:5" x14ac:dyDescent="0.2">
      <c r="D2681" s="52"/>
      <c r="E2681" s="52"/>
    </row>
    <row r="2682" spans="4:5" x14ac:dyDescent="0.2">
      <c r="D2682" s="52"/>
      <c r="E2682" s="52"/>
    </row>
    <row r="2683" spans="4:5" x14ac:dyDescent="0.2">
      <c r="D2683" s="52"/>
      <c r="E2683" s="52"/>
    </row>
    <row r="2684" spans="4:5" x14ac:dyDescent="0.2">
      <c r="D2684" s="52"/>
      <c r="E2684" s="52"/>
    </row>
    <row r="2685" spans="4:5" x14ac:dyDescent="0.2">
      <c r="D2685" s="52"/>
      <c r="E2685" s="52"/>
    </row>
    <row r="2686" spans="4:5" x14ac:dyDescent="0.2">
      <c r="D2686" s="52"/>
      <c r="E2686" s="52"/>
    </row>
    <row r="2687" spans="4:5" x14ac:dyDescent="0.2">
      <c r="D2687" s="52"/>
      <c r="E2687" s="52"/>
    </row>
    <row r="2688" spans="4:5" x14ac:dyDescent="0.2">
      <c r="D2688" s="52"/>
      <c r="E2688" s="52"/>
    </row>
    <row r="2689" spans="4:5" x14ac:dyDescent="0.2">
      <c r="D2689" s="52"/>
      <c r="E2689" s="52"/>
    </row>
    <row r="2690" spans="4:5" x14ac:dyDescent="0.2">
      <c r="D2690" s="52"/>
      <c r="E2690" s="52"/>
    </row>
    <row r="2691" spans="4:5" x14ac:dyDescent="0.2">
      <c r="D2691" s="52"/>
      <c r="E2691" s="52"/>
    </row>
    <row r="2692" spans="4:5" x14ac:dyDescent="0.2">
      <c r="D2692" s="52"/>
      <c r="E2692" s="52"/>
    </row>
    <row r="2693" spans="4:5" x14ac:dyDescent="0.2">
      <c r="D2693" s="52"/>
      <c r="E2693" s="52"/>
    </row>
    <row r="2694" spans="4:5" x14ac:dyDescent="0.2">
      <c r="D2694" s="52"/>
      <c r="E2694" s="52"/>
    </row>
    <row r="2695" spans="4:5" x14ac:dyDescent="0.2">
      <c r="D2695" s="52"/>
      <c r="E2695" s="52"/>
    </row>
    <row r="2696" spans="4:5" x14ac:dyDescent="0.2">
      <c r="D2696" s="52"/>
      <c r="E2696" s="52"/>
    </row>
    <row r="2697" spans="4:5" x14ac:dyDescent="0.2">
      <c r="D2697" s="52"/>
      <c r="E2697" s="52"/>
    </row>
    <row r="2698" spans="4:5" x14ac:dyDescent="0.2">
      <c r="D2698" s="52"/>
      <c r="E2698" s="52"/>
    </row>
    <row r="2699" spans="4:5" x14ac:dyDescent="0.2">
      <c r="D2699" s="52"/>
      <c r="E2699" s="52"/>
    </row>
    <row r="2700" spans="4:5" x14ac:dyDescent="0.2">
      <c r="D2700" s="52"/>
      <c r="E2700" s="52"/>
    </row>
    <row r="2701" spans="4:5" x14ac:dyDescent="0.2">
      <c r="D2701" s="52"/>
      <c r="E2701" s="52"/>
    </row>
    <row r="2702" spans="4:5" x14ac:dyDescent="0.2">
      <c r="D2702" s="52"/>
      <c r="E2702" s="52"/>
    </row>
    <row r="2703" spans="4:5" x14ac:dyDescent="0.2">
      <c r="D2703" s="52"/>
      <c r="E2703" s="52"/>
    </row>
    <row r="2704" spans="4:5" x14ac:dyDescent="0.2">
      <c r="D2704" s="52"/>
      <c r="E2704" s="52"/>
    </row>
    <row r="2705" spans="4:5" x14ac:dyDescent="0.2">
      <c r="D2705" s="52"/>
      <c r="E2705" s="52"/>
    </row>
    <row r="2706" spans="4:5" x14ac:dyDescent="0.2">
      <c r="D2706" s="52"/>
      <c r="E2706" s="52"/>
    </row>
    <row r="2707" spans="4:5" x14ac:dyDescent="0.2">
      <c r="D2707" s="52"/>
      <c r="E2707" s="52"/>
    </row>
    <row r="2708" spans="4:5" x14ac:dyDescent="0.2">
      <c r="D2708" s="52"/>
      <c r="E2708" s="52"/>
    </row>
    <row r="2709" spans="4:5" x14ac:dyDescent="0.2">
      <c r="D2709" s="52"/>
      <c r="E2709" s="52"/>
    </row>
    <row r="2710" spans="4:5" x14ac:dyDescent="0.2">
      <c r="D2710" s="52"/>
      <c r="E2710" s="52"/>
    </row>
    <row r="2711" spans="4:5" x14ac:dyDescent="0.2">
      <c r="D2711" s="52"/>
      <c r="E2711" s="52"/>
    </row>
    <row r="2712" spans="4:5" x14ac:dyDescent="0.2">
      <c r="D2712" s="52"/>
      <c r="E2712" s="52"/>
    </row>
    <row r="2713" spans="4:5" x14ac:dyDescent="0.2">
      <c r="D2713" s="52"/>
      <c r="E2713" s="52"/>
    </row>
    <row r="2714" spans="4:5" x14ac:dyDescent="0.2">
      <c r="D2714" s="52"/>
      <c r="E2714" s="52"/>
    </row>
    <row r="2715" spans="4:5" x14ac:dyDescent="0.2">
      <c r="D2715" s="52"/>
      <c r="E2715" s="52"/>
    </row>
    <row r="2716" spans="4:5" x14ac:dyDescent="0.2">
      <c r="D2716" s="52"/>
      <c r="E2716" s="52"/>
    </row>
    <row r="2717" spans="4:5" x14ac:dyDescent="0.2">
      <c r="D2717" s="52"/>
      <c r="E2717" s="52"/>
    </row>
    <row r="2718" spans="4:5" x14ac:dyDescent="0.2">
      <c r="D2718" s="52"/>
      <c r="E2718" s="52"/>
    </row>
    <row r="2719" spans="4:5" x14ac:dyDescent="0.2">
      <c r="D2719" s="52"/>
      <c r="E2719" s="52"/>
    </row>
    <row r="2720" spans="4:5" x14ac:dyDescent="0.2">
      <c r="D2720" s="52"/>
      <c r="E2720" s="52"/>
    </row>
    <row r="2721" spans="4:5" x14ac:dyDescent="0.2">
      <c r="D2721" s="52"/>
      <c r="E2721" s="52"/>
    </row>
    <row r="2722" spans="4:5" x14ac:dyDescent="0.2">
      <c r="D2722" s="52"/>
      <c r="E2722" s="52"/>
    </row>
    <row r="2723" spans="4:5" x14ac:dyDescent="0.2">
      <c r="D2723" s="52"/>
      <c r="E2723" s="52"/>
    </row>
    <row r="2724" spans="4:5" x14ac:dyDescent="0.2">
      <c r="D2724" s="52"/>
      <c r="E2724" s="52"/>
    </row>
    <row r="2725" spans="4:5" x14ac:dyDescent="0.2">
      <c r="D2725" s="52"/>
      <c r="E2725" s="52"/>
    </row>
    <row r="2726" spans="4:5" x14ac:dyDescent="0.2">
      <c r="D2726" s="52"/>
      <c r="E2726" s="52"/>
    </row>
    <row r="2727" spans="4:5" x14ac:dyDescent="0.2">
      <c r="D2727" s="52"/>
      <c r="E2727" s="52"/>
    </row>
    <row r="2728" spans="4:5" x14ac:dyDescent="0.2">
      <c r="D2728" s="52"/>
      <c r="E2728" s="52"/>
    </row>
    <row r="2729" spans="4:5" x14ac:dyDescent="0.2">
      <c r="D2729" s="52"/>
      <c r="E2729" s="52"/>
    </row>
    <row r="2730" spans="4:5" x14ac:dyDescent="0.2">
      <c r="D2730" s="52"/>
      <c r="E2730" s="52"/>
    </row>
    <row r="2731" spans="4:5" x14ac:dyDescent="0.2">
      <c r="D2731" s="52"/>
      <c r="E2731" s="52"/>
    </row>
    <row r="2732" spans="4:5" x14ac:dyDescent="0.2">
      <c r="D2732" s="52"/>
      <c r="E2732" s="52"/>
    </row>
    <row r="2733" spans="4:5" x14ac:dyDescent="0.2">
      <c r="D2733" s="52"/>
      <c r="E2733" s="52"/>
    </row>
    <row r="2734" spans="4:5" x14ac:dyDescent="0.2">
      <c r="D2734" s="52"/>
      <c r="E2734" s="52"/>
    </row>
    <row r="2735" spans="4:5" x14ac:dyDescent="0.2">
      <c r="D2735" s="52"/>
      <c r="E2735" s="52"/>
    </row>
    <row r="2736" spans="4:5" x14ac:dyDescent="0.2">
      <c r="D2736" s="52"/>
      <c r="E2736" s="52"/>
    </row>
    <row r="2737" spans="4:5" x14ac:dyDescent="0.2">
      <c r="D2737" s="52"/>
      <c r="E2737" s="52"/>
    </row>
    <row r="2738" spans="4:5" x14ac:dyDescent="0.2">
      <c r="D2738" s="52"/>
      <c r="E2738" s="52"/>
    </row>
    <row r="2739" spans="4:5" x14ac:dyDescent="0.2">
      <c r="D2739" s="52"/>
      <c r="E2739" s="52"/>
    </row>
    <row r="2740" spans="4:5" x14ac:dyDescent="0.2">
      <c r="D2740" s="52"/>
      <c r="E2740" s="52"/>
    </row>
    <row r="2741" spans="4:5" x14ac:dyDescent="0.2">
      <c r="D2741" s="52"/>
      <c r="E2741" s="52"/>
    </row>
    <row r="2742" spans="4:5" x14ac:dyDescent="0.2">
      <c r="D2742" s="52"/>
      <c r="E2742" s="52"/>
    </row>
    <row r="2743" spans="4:5" x14ac:dyDescent="0.2">
      <c r="D2743" s="52"/>
      <c r="E2743" s="52"/>
    </row>
    <row r="2744" spans="4:5" x14ac:dyDescent="0.2">
      <c r="D2744" s="52"/>
      <c r="E2744" s="52"/>
    </row>
    <row r="2745" spans="4:5" x14ac:dyDescent="0.2">
      <c r="D2745" s="52"/>
      <c r="E2745" s="52"/>
    </row>
    <row r="2746" spans="4:5" x14ac:dyDescent="0.2">
      <c r="D2746" s="52"/>
      <c r="E2746" s="52"/>
    </row>
    <row r="2747" spans="4:5" x14ac:dyDescent="0.2">
      <c r="D2747" s="52"/>
      <c r="E2747" s="52"/>
    </row>
    <row r="2748" spans="4:5" x14ac:dyDescent="0.2">
      <c r="D2748" s="52"/>
      <c r="E2748" s="52"/>
    </row>
    <row r="2749" spans="4:5" x14ac:dyDescent="0.2">
      <c r="D2749" s="52"/>
      <c r="E2749" s="52"/>
    </row>
    <row r="2750" spans="4:5" x14ac:dyDescent="0.2">
      <c r="D2750" s="52"/>
      <c r="E2750" s="52"/>
    </row>
    <row r="2751" spans="4:5" x14ac:dyDescent="0.2">
      <c r="D2751" s="52"/>
      <c r="E2751" s="52"/>
    </row>
    <row r="2752" spans="4:5" x14ac:dyDescent="0.2">
      <c r="D2752" s="52"/>
      <c r="E2752" s="52"/>
    </row>
    <row r="2753" spans="4:5" x14ac:dyDescent="0.2">
      <c r="D2753" s="52"/>
      <c r="E2753" s="52"/>
    </row>
    <row r="2754" spans="4:5" x14ac:dyDescent="0.2">
      <c r="D2754" s="52"/>
      <c r="E2754" s="52"/>
    </row>
    <row r="2755" spans="4:5" x14ac:dyDescent="0.2">
      <c r="D2755" s="52"/>
      <c r="E2755" s="52"/>
    </row>
    <row r="2756" spans="4:5" x14ac:dyDescent="0.2">
      <c r="D2756" s="52"/>
      <c r="E2756" s="52"/>
    </row>
    <row r="2757" spans="4:5" x14ac:dyDescent="0.2">
      <c r="D2757" s="52"/>
      <c r="E2757" s="52"/>
    </row>
    <row r="2758" spans="4:5" x14ac:dyDescent="0.2">
      <c r="D2758" s="52"/>
      <c r="E2758" s="52"/>
    </row>
    <row r="2759" spans="4:5" x14ac:dyDescent="0.2">
      <c r="D2759" s="52"/>
      <c r="E2759" s="52"/>
    </row>
    <row r="2760" spans="4:5" x14ac:dyDescent="0.2">
      <c r="D2760" s="52"/>
      <c r="E2760" s="52"/>
    </row>
    <row r="2761" spans="4:5" x14ac:dyDescent="0.2">
      <c r="D2761" s="52"/>
      <c r="E2761" s="52"/>
    </row>
    <row r="2762" spans="4:5" x14ac:dyDescent="0.2">
      <c r="D2762" s="52"/>
      <c r="E2762" s="52"/>
    </row>
    <row r="2763" spans="4:5" x14ac:dyDescent="0.2">
      <c r="D2763" s="52"/>
      <c r="E2763" s="52"/>
    </row>
    <row r="2764" spans="4:5" x14ac:dyDescent="0.2">
      <c r="D2764" s="52"/>
      <c r="E2764" s="52"/>
    </row>
    <row r="2765" spans="4:5" x14ac:dyDescent="0.2">
      <c r="D2765" s="52"/>
      <c r="E2765" s="52"/>
    </row>
    <row r="2766" spans="4:5" x14ac:dyDescent="0.2">
      <c r="D2766" s="52"/>
      <c r="E2766" s="52"/>
    </row>
    <row r="2767" spans="4:5" x14ac:dyDescent="0.2">
      <c r="D2767" s="52"/>
      <c r="E2767" s="52"/>
    </row>
    <row r="2768" spans="4:5" x14ac:dyDescent="0.2">
      <c r="D2768" s="52"/>
      <c r="E2768" s="52"/>
    </row>
    <row r="2769" spans="4:5" x14ac:dyDescent="0.2">
      <c r="D2769" s="52"/>
      <c r="E2769" s="52"/>
    </row>
    <row r="2770" spans="4:5" x14ac:dyDescent="0.2">
      <c r="D2770" s="52"/>
      <c r="E2770" s="52"/>
    </row>
    <row r="2771" spans="4:5" x14ac:dyDescent="0.2">
      <c r="D2771" s="52"/>
      <c r="E2771" s="52"/>
    </row>
    <row r="2772" spans="4:5" x14ac:dyDescent="0.2">
      <c r="D2772" s="52"/>
      <c r="E2772" s="52"/>
    </row>
    <row r="2773" spans="4:5" x14ac:dyDescent="0.2">
      <c r="D2773" s="52"/>
      <c r="E2773" s="52"/>
    </row>
    <row r="2774" spans="4:5" x14ac:dyDescent="0.2">
      <c r="D2774" s="52"/>
      <c r="E2774" s="52"/>
    </row>
    <row r="2775" spans="4:5" x14ac:dyDescent="0.2">
      <c r="D2775" s="52"/>
      <c r="E2775" s="52"/>
    </row>
    <row r="2776" spans="4:5" x14ac:dyDescent="0.2">
      <c r="D2776" s="52"/>
      <c r="E2776" s="52"/>
    </row>
    <row r="2777" spans="4:5" x14ac:dyDescent="0.2">
      <c r="D2777" s="52"/>
      <c r="E2777" s="52"/>
    </row>
    <row r="2778" spans="4:5" x14ac:dyDescent="0.2">
      <c r="D2778" s="52"/>
      <c r="E2778" s="52"/>
    </row>
    <row r="2779" spans="4:5" x14ac:dyDescent="0.2">
      <c r="D2779" s="52"/>
      <c r="E2779" s="52"/>
    </row>
    <row r="2780" spans="4:5" x14ac:dyDescent="0.2">
      <c r="D2780" s="52"/>
      <c r="E2780" s="52"/>
    </row>
    <row r="2781" spans="4:5" x14ac:dyDescent="0.2">
      <c r="D2781" s="52"/>
      <c r="E2781" s="52"/>
    </row>
    <row r="2782" spans="4:5" x14ac:dyDescent="0.2">
      <c r="D2782" s="52"/>
      <c r="E2782" s="52"/>
    </row>
    <row r="2783" spans="4:5" x14ac:dyDescent="0.2">
      <c r="D2783" s="52"/>
      <c r="E2783" s="52"/>
    </row>
    <row r="2784" spans="4:5" x14ac:dyDescent="0.2">
      <c r="D2784" s="52"/>
      <c r="E2784" s="52"/>
    </row>
    <row r="2785" spans="4:5" x14ac:dyDescent="0.2">
      <c r="D2785" s="52"/>
      <c r="E2785" s="52"/>
    </row>
    <row r="2786" spans="4:5" x14ac:dyDescent="0.2">
      <c r="D2786" s="52"/>
      <c r="E2786" s="52"/>
    </row>
    <row r="2787" spans="4:5" x14ac:dyDescent="0.2">
      <c r="D2787" s="52"/>
      <c r="E2787" s="52"/>
    </row>
    <row r="2788" spans="4:5" x14ac:dyDescent="0.2">
      <c r="D2788" s="52"/>
      <c r="E2788" s="52"/>
    </row>
    <row r="2789" spans="4:5" x14ac:dyDescent="0.2">
      <c r="D2789" s="52"/>
      <c r="E2789" s="52"/>
    </row>
    <row r="2790" spans="4:5" x14ac:dyDescent="0.2">
      <c r="D2790" s="52"/>
      <c r="E2790" s="52"/>
    </row>
    <row r="2791" spans="4:5" x14ac:dyDescent="0.2">
      <c r="D2791" s="52"/>
      <c r="E2791" s="52"/>
    </row>
    <row r="2792" spans="4:5" x14ac:dyDescent="0.2">
      <c r="D2792" s="52"/>
      <c r="E2792" s="52"/>
    </row>
    <row r="2793" spans="4:5" x14ac:dyDescent="0.2">
      <c r="D2793" s="52"/>
      <c r="E2793" s="52"/>
    </row>
    <row r="2794" spans="4:5" x14ac:dyDescent="0.2">
      <c r="D2794" s="52"/>
      <c r="E2794" s="52"/>
    </row>
    <row r="2795" spans="4:5" x14ac:dyDescent="0.2">
      <c r="D2795" s="52"/>
      <c r="E2795" s="52"/>
    </row>
    <row r="2796" spans="4:5" x14ac:dyDescent="0.2">
      <c r="D2796" s="52"/>
      <c r="E2796" s="52"/>
    </row>
    <row r="2797" spans="4:5" x14ac:dyDescent="0.2">
      <c r="D2797" s="52"/>
      <c r="E2797" s="52"/>
    </row>
    <row r="2798" spans="4:5" x14ac:dyDescent="0.2">
      <c r="D2798" s="52"/>
      <c r="E2798" s="52"/>
    </row>
    <row r="2799" spans="4:5" x14ac:dyDescent="0.2">
      <c r="D2799" s="52"/>
      <c r="E2799" s="52"/>
    </row>
    <row r="2800" spans="4:5" x14ac:dyDescent="0.2">
      <c r="D2800" s="52"/>
      <c r="E2800" s="52"/>
    </row>
    <row r="2801" spans="4:5" x14ac:dyDescent="0.2">
      <c r="D2801" s="52"/>
      <c r="E2801" s="52"/>
    </row>
    <row r="2802" spans="4:5" x14ac:dyDescent="0.2">
      <c r="D2802" s="52"/>
      <c r="E2802" s="52"/>
    </row>
    <row r="2803" spans="4:5" x14ac:dyDescent="0.2">
      <c r="D2803" s="52"/>
      <c r="E2803" s="52"/>
    </row>
    <row r="2804" spans="4:5" x14ac:dyDescent="0.2">
      <c r="D2804" s="52"/>
      <c r="E2804" s="52"/>
    </row>
    <row r="2805" spans="4:5" x14ac:dyDescent="0.2">
      <c r="D2805" s="52"/>
      <c r="E2805" s="52"/>
    </row>
    <row r="2806" spans="4:5" x14ac:dyDescent="0.2">
      <c r="D2806" s="52"/>
      <c r="E2806" s="52"/>
    </row>
    <row r="2807" spans="4:5" x14ac:dyDescent="0.2">
      <c r="D2807" s="52"/>
      <c r="E2807" s="52"/>
    </row>
    <row r="2808" spans="4:5" x14ac:dyDescent="0.2">
      <c r="D2808" s="52"/>
      <c r="E2808" s="52"/>
    </row>
    <row r="2809" spans="4:5" x14ac:dyDescent="0.2">
      <c r="D2809" s="52"/>
      <c r="E2809" s="52"/>
    </row>
    <row r="2810" spans="4:5" x14ac:dyDescent="0.2">
      <c r="D2810" s="52"/>
      <c r="E2810" s="52"/>
    </row>
    <row r="2811" spans="4:5" x14ac:dyDescent="0.2">
      <c r="D2811" s="52"/>
      <c r="E2811" s="52"/>
    </row>
    <row r="2812" spans="4:5" x14ac:dyDescent="0.2">
      <c r="D2812" s="52"/>
      <c r="E2812" s="52"/>
    </row>
    <row r="2813" spans="4:5" x14ac:dyDescent="0.2">
      <c r="D2813" s="52"/>
      <c r="E2813" s="52"/>
    </row>
    <row r="2814" spans="4:5" x14ac:dyDescent="0.2">
      <c r="D2814" s="52"/>
      <c r="E2814" s="52"/>
    </row>
    <row r="2815" spans="4:5" x14ac:dyDescent="0.2">
      <c r="D2815" s="52"/>
      <c r="E2815" s="52"/>
    </row>
    <row r="2816" spans="4:5" x14ac:dyDescent="0.2">
      <c r="D2816" s="52"/>
      <c r="E2816" s="52"/>
    </row>
    <row r="2817" spans="4:5" x14ac:dyDescent="0.2">
      <c r="D2817" s="52"/>
      <c r="E2817" s="52"/>
    </row>
    <row r="2818" spans="4:5" x14ac:dyDescent="0.2">
      <c r="D2818" s="52"/>
      <c r="E2818" s="52"/>
    </row>
    <row r="2819" spans="4:5" x14ac:dyDescent="0.2">
      <c r="D2819" s="52"/>
      <c r="E2819" s="52"/>
    </row>
    <row r="2820" spans="4:5" x14ac:dyDescent="0.2">
      <c r="D2820" s="52"/>
      <c r="E2820" s="52"/>
    </row>
    <row r="2821" spans="4:5" x14ac:dyDescent="0.2">
      <c r="D2821" s="52"/>
      <c r="E2821" s="52"/>
    </row>
    <row r="2822" spans="4:5" x14ac:dyDescent="0.2">
      <c r="D2822" s="52"/>
      <c r="E2822" s="52"/>
    </row>
    <row r="2823" spans="4:5" x14ac:dyDescent="0.2">
      <c r="D2823" s="52"/>
      <c r="E2823" s="52"/>
    </row>
    <row r="2824" spans="4:5" x14ac:dyDescent="0.2">
      <c r="D2824" s="52"/>
      <c r="E2824" s="52"/>
    </row>
    <row r="2825" spans="4:5" x14ac:dyDescent="0.2">
      <c r="D2825" s="52"/>
      <c r="E2825" s="52"/>
    </row>
    <row r="2826" spans="4:5" x14ac:dyDescent="0.2">
      <c r="D2826" s="52"/>
      <c r="E2826" s="52"/>
    </row>
    <row r="2827" spans="4:5" x14ac:dyDescent="0.2">
      <c r="D2827" s="52"/>
      <c r="E2827" s="52"/>
    </row>
    <row r="2828" spans="4:5" x14ac:dyDescent="0.2">
      <c r="D2828" s="52"/>
      <c r="E2828" s="52"/>
    </row>
    <row r="2829" spans="4:5" x14ac:dyDescent="0.2">
      <c r="D2829" s="52"/>
      <c r="E2829" s="52"/>
    </row>
    <row r="2830" spans="4:5" x14ac:dyDescent="0.2">
      <c r="D2830" s="52"/>
      <c r="E2830" s="52"/>
    </row>
    <row r="2831" spans="4:5" x14ac:dyDescent="0.2">
      <c r="D2831" s="52"/>
      <c r="E2831" s="52"/>
    </row>
    <row r="2832" spans="4:5" x14ac:dyDescent="0.2">
      <c r="D2832" s="52"/>
      <c r="E2832" s="52"/>
    </row>
    <row r="2833" spans="4:5" x14ac:dyDescent="0.2">
      <c r="D2833" s="52"/>
      <c r="E2833" s="52"/>
    </row>
    <row r="2834" spans="4:5" x14ac:dyDescent="0.2">
      <c r="D2834" s="52"/>
      <c r="E2834" s="52"/>
    </row>
    <row r="2835" spans="4:5" x14ac:dyDescent="0.2">
      <c r="D2835" s="52"/>
      <c r="E2835" s="52"/>
    </row>
    <row r="2836" spans="4:5" x14ac:dyDescent="0.2">
      <c r="D2836" s="52"/>
      <c r="E2836" s="52"/>
    </row>
    <row r="2837" spans="4:5" x14ac:dyDescent="0.2">
      <c r="D2837" s="52"/>
      <c r="E2837" s="52"/>
    </row>
    <row r="2838" spans="4:5" x14ac:dyDescent="0.2">
      <c r="D2838" s="52"/>
      <c r="E2838" s="52"/>
    </row>
    <row r="2839" spans="4:5" x14ac:dyDescent="0.2">
      <c r="D2839" s="52"/>
      <c r="E2839" s="52"/>
    </row>
    <row r="2840" spans="4:5" x14ac:dyDescent="0.2">
      <c r="D2840" s="52"/>
      <c r="E2840" s="52"/>
    </row>
    <row r="2841" spans="4:5" x14ac:dyDescent="0.2">
      <c r="D2841" s="52"/>
      <c r="E2841" s="52"/>
    </row>
    <row r="2842" spans="4:5" x14ac:dyDescent="0.2">
      <c r="D2842" s="52"/>
      <c r="E2842" s="52"/>
    </row>
    <row r="2843" spans="4:5" x14ac:dyDescent="0.2">
      <c r="D2843" s="52"/>
      <c r="E2843" s="52"/>
    </row>
    <row r="2844" spans="4:5" x14ac:dyDescent="0.2">
      <c r="D2844" s="52"/>
      <c r="E2844" s="52"/>
    </row>
    <row r="2845" spans="4:5" x14ac:dyDescent="0.2">
      <c r="D2845" s="52"/>
      <c r="E2845" s="52"/>
    </row>
    <row r="2846" spans="4:5" x14ac:dyDescent="0.2">
      <c r="D2846" s="52"/>
      <c r="E2846" s="52"/>
    </row>
    <row r="2847" spans="4:5" x14ac:dyDescent="0.2">
      <c r="D2847" s="52"/>
      <c r="E2847" s="52"/>
    </row>
    <row r="2848" spans="4:5" x14ac:dyDescent="0.2">
      <c r="D2848" s="52"/>
      <c r="E2848" s="52"/>
    </row>
    <row r="2849" spans="4:5" x14ac:dyDescent="0.2">
      <c r="D2849" s="52"/>
      <c r="E2849" s="52"/>
    </row>
    <row r="2850" spans="4:5" x14ac:dyDescent="0.2">
      <c r="D2850" s="52"/>
      <c r="E2850" s="52"/>
    </row>
    <row r="2851" spans="4:5" x14ac:dyDescent="0.2">
      <c r="D2851" s="52"/>
      <c r="E2851" s="52"/>
    </row>
    <row r="2852" spans="4:5" x14ac:dyDescent="0.2">
      <c r="D2852" s="52"/>
      <c r="E2852" s="52"/>
    </row>
    <row r="2853" spans="4:5" x14ac:dyDescent="0.2">
      <c r="D2853" s="52"/>
      <c r="E2853" s="52"/>
    </row>
    <row r="2854" spans="4:5" x14ac:dyDescent="0.2">
      <c r="D2854" s="52"/>
      <c r="E2854" s="52"/>
    </row>
    <row r="2855" spans="4:5" x14ac:dyDescent="0.2">
      <c r="D2855" s="52"/>
      <c r="E2855" s="52"/>
    </row>
    <row r="2856" spans="4:5" x14ac:dyDescent="0.2">
      <c r="D2856" s="52"/>
      <c r="E2856" s="52"/>
    </row>
    <row r="2857" spans="4:5" x14ac:dyDescent="0.2">
      <c r="D2857" s="52"/>
      <c r="E2857" s="52"/>
    </row>
    <row r="2858" spans="4:5" x14ac:dyDescent="0.2">
      <c r="D2858" s="52"/>
      <c r="E2858" s="52"/>
    </row>
    <row r="2859" spans="4:5" x14ac:dyDescent="0.2">
      <c r="D2859" s="52"/>
      <c r="E2859" s="52"/>
    </row>
    <row r="2860" spans="4:5" x14ac:dyDescent="0.2">
      <c r="D2860" s="52"/>
      <c r="E2860" s="52"/>
    </row>
    <row r="2861" spans="4:5" x14ac:dyDescent="0.2">
      <c r="D2861" s="52"/>
      <c r="E2861" s="52"/>
    </row>
    <row r="2862" spans="4:5" x14ac:dyDescent="0.2">
      <c r="D2862" s="52"/>
      <c r="E2862" s="52"/>
    </row>
    <row r="2863" spans="4:5" x14ac:dyDescent="0.2">
      <c r="D2863" s="52"/>
      <c r="E2863" s="52"/>
    </row>
    <row r="2864" spans="4:5" x14ac:dyDescent="0.2">
      <c r="D2864" s="52"/>
      <c r="E2864" s="52"/>
    </row>
    <row r="2865" spans="4:5" x14ac:dyDescent="0.2">
      <c r="D2865" s="52"/>
      <c r="E2865" s="52"/>
    </row>
    <row r="2866" spans="4:5" x14ac:dyDescent="0.2">
      <c r="D2866" s="52"/>
      <c r="E2866" s="52"/>
    </row>
    <row r="2867" spans="4:5" x14ac:dyDescent="0.2">
      <c r="D2867" s="52"/>
      <c r="E2867" s="52"/>
    </row>
    <row r="2868" spans="4:5" x14ac:dyDescent="0.2">
      <c r="D2868" s="52"/>
      <c r="E2868" s="52"/>
    </row>
    <row r="2869" spans="4:5" x14ac:dyDescent="0.2">
      <c r="D2869" s="52"/>
      <c r="E2869" s="52"/>
    </row>
    <row r="2870" spans="4:5" x14ac:dyDescent="0.2">
      <c r="D2870" s="52"/>
      <c r="E2870" s="52"/>
    </row>
    <row r="2871" spans="4:5" x14ac:dyDescent="0.2">
      <c r="D2871" s="52"/>
      <c r="E2871" s="52"/>
    </row>
    <row r="2872" spans="4:5" x14ac:dyDescent="0.2">
      <c r="D2872" s="52"/>
      <c r="E2872" s="52"/>
    </row>
    <row r="2873" spans="4:5" x14ac:dyDescent="0.2">
      <c r="D2873" s="52"/>
      <c r="E2873" s="52"/>
    </row>
    <row r="2874" spans="4:5" x14ac:dyDescent="0.2">
      <c r="D2874" s="52"/>
      <c r="E2874" s="52"/>
    </row>
    <row r="2875" spans="4:5" x14ac:dyDescent="0.2">
      <c r="D2875" s="52"/>
      <c r="E2875" s="52"/>
    </row>
    <row r="2876" spans="4:5" x14ac:dyDescent="0.2">
      <c r="D2876" s="52"/>
      <c r="E2876" s="52"/>
    </row>
    <row r="2877" spans="4:5" x14ac:dyDescent="0.2">
      <c r="D2877" s="52"/>
      <c r="E2877" s="52"/>
    </row>
    <row r="2878" spans="4:5" x14ac:dyDescent="0.2">
      <c r="D2878" s="52"/>
      <c r="E2878" s="52"/>
    </row>
    <row r="2879" spans="4:5" x14ac:dyDescent="0.2">
      <c r="D2879" s="52"/>
      <c r="E2879" s="52"/>
    </row>
    <row r="2880" spans="4:5" x14ac:dyDescent="0.2">
      <c r="D2880" s="52"/>
      <c r="E2880" s="52"/>
    </row>
    <row r="2881" spans="4:5" x14ac:dyDescent="0.2">
      <c r="D2881" s="52"/>
      <c r="E2881" s="52"/>
    </row>
    <row r="2882" spans="4:5" x14ac:dyDescent="0.2">
      <c r="D2882" s="52"/>
      <c r="E2882" s="52"/>
    </row>
    <row r="2883" spans="4:5" x14ac:dyDescent="0.2">
      <c r="D2883" s="52"/>
      <c r="E2883" s="52"/>
    </row>
    <row r="2884" spans="4:5" x14ac:dyDescent="0.2">
      <c r="D2884" s="52"/>
      <c r="E2884" s="52"/>
    </row>
    <row r="2885" spans="4:5" x14ac:dyDescent="0.2">
      <c r="D2885" s="52"/>
      <c r="E2885" s="52"/>
    </row>
    <row r="2886" spans="4:5" x14ac:dyDescent="0.2">
      <c r="D2886" s="52"/>
      <c r="E2886" s="52"/>
    </row>
    <row r="2887" spans="4:5" x14ac:dyDescent="0.2">
      <c r="D2887" s="52"/>
      <c r="E2887" s="52"/>
    </row>
    <row r="2888" spans="4:5" x14ac:dyDescent="0.2">
      <c r="D2888" s="52"/>
      <c r="E2888" s="52"/>
    </row>
    <row r="2889" spans="4:5" x14ac:dyDescent="0.2">
      <c r="D2889" s="52"/>
      <c r="E2889" s="52"/>
    </row>
    <row r="2890" spans="4:5" x14ac:dyDescent="0.2">
      <c r="D2890" s="52"/>
      <c r="E2890" s="52"/>
    </row>
    <row r="2891" spans="4:5" x14ac:dyDescent="0.2">
      <c r="D2891" s="52"/>
      <c r="E2891" s="52"/>
    </row>
    <row r="2892" spans="4:5" x14ac:dyDescent="0.2">
      <c r="D2892" s="52"/>
      <c r="E2892" s="52"/>
    </row>
    <row r="2893" spans="4:5" x14ac:dyDescent="0.2">
      <c r="D2893" s="52"/>
      <c r="E2893" s="52"/>
    </row>
    <row r="2894" spans="4:5" x14ac:dyDescent="0.2">
      <c r="D2894" s="52"/>
      <c r="E2894" s="52"/>
    </row>
    <row r="2895" spans="4:5" x14ac:dyDescent="0.2">
      <c r="D2895" s="52"/>
      <c r="E2895" s="52"/>
    </row>
    <row r="2896" spans="4:5" x14ac:dyDescent="0.2">
      <c r="D2896" s="52"/>
      <c r="E2896" s="52"/>
    </row>
    <row r="2897" spans="4:5" x14ac:dyDescent="0.2">
      <c r="D2897" s="52"/>
      <c r="E2897" s="52"/>
    </row>
    <row r="2898" spans="4:5" x14ac:dyDescent="0.2">
      <c r="D2898" s="52"/>
      <c r="E2898" s="52"/>
    </row>
    <row r="2899" spans="4:5" x14ac:dyDescent="0.2">
      <c r="D2899" s="52"/>
      <c r="E2899" s="52"/>
    </row>
    <row r="2900" spans="4:5" x14ac:dyDescent="0.2">
      <c r="D2900" s="52"/>
      <c r="E2900" s="52"/>
    </row>
    <row r="2901" spans="4:5" x14ac:dyDescent="0.2">
      <c r="D2901" s="52"/>
      <c r="E2901" s="52"/>
    </row>
    <row r="2902" spans="4:5" x14ac:dyDescent="0.2">
      <c r="D2902" s="52"/>
      <c r="E2902" s="52"/>
    </row>
    <row r="2903" spans="4:5" x14ac:dyDescent="0.2">
      <c r="D2903" s="52"/>
      <c r="E2903" s="52"/>
    </row>
    <row r="2904" spans="4:5" x14ac:dyDescent="0.2">
      <c r="D2904" s="52"/>
      <c r="E2904" s="52"/>
    </row>
    <row r="2905" spans="4:5" x14ac:dyDescent="0.2">
      <c r="D2905" s="52"/>
      <c r="E2905" s="52"/>
    </row>
    <row r="2906" spans="4:5" x14ac:dyDescent="0.2">
      <c r="D2906" s="52"/>
      <c r="E2906" s="52"/>
    </row>
    <row r="2907" spans="4:5" x14ac:dyDescent="0.2">
      <c r="D2907" s="52"/>
      <c r="E2907" s="52"/>
    </row>
    <row r="2908" spans="4:5" x14ac:dyDescent="0.2">
      <c r="D2908" s="52"/>
      <c r="E2908" s="52"/>
    </row>
    <row r="2909" spans="4:5" x14ac:dyDescent="0.2">
      <c r="D2909" s="52"/>
      <c r="E2909" s="52"/>
    </row>
    <row r="2910" spans="4:5" x14ac:dyDescent="0.2">
      <c r="D2910" s="52"/>
      <c r="E2910" s="52"/>
    </row>
    <row r="2911" spans="4:5" x14ac:dyDescent="0.2">
      <c r="D2911" s="52"/>
      <c r="E2911" s="52"/>
    </row>
    <row r="2912" spans="4:5" x14ac:dyDescent="0.2">
      <c r="D2912" s="52"/>
      <c r="E2912" s="52"/>
    </row>
    <row r="2913" spans="4:5" x14ac:dyDescent="0.2">
      <c r="D2913" s="52"/>
      <c r="E2913" s="52"/>
    </row>
    <row r="2914" spans="4:5" x14ac:dyDescent="0.2">
      <c r="D2914" s="52"/>
      <c r="E2914" s="52"/>
    </row>
    <row r="2915" spans="4:5" x14ac:dyDescent="0.2">
      <c r="D2915" s="52"/>
      <c r="E2915" s="52"/>
    </row>
    <row r="2916" spans="4:5" x14ac:dyDescent="0.2">
      <c r="D2916" s="52"/>
      <c r="E2916" s="52"/>
    </row>
    <row r="2917" spans="4:5" x14ac:dyDescent="0.2">
      <c r="D2917" s="52"/>
      <c r="E2917" s="52"/>
    </row>
    <row r="2918" spans="4:5" x14ac:dyDescent="0.2">
      <c r="D2918" s="52"/>
      <c r="E2918" s="52"/>
    </row>
    <row r="2919" spans="4:5" x14ac:dyDescent="0.2">
      <c r="D2919" s="52"/>
      <c r="E2919" s="52"/>
    </row>
    <row r="2920" spans="4:5" x14ac:dyDescent="0.2">
      <c r="D2920" s="52"/>
      <c r="E2920" s="52"/>
    </row>
    <row r="2921" spans="4:5" x14ac:dyDescent="0.2">
      <c r="D2921" s="52"/>
      <c r="E2921" s="52"/>
    </row>
    <row r="2922" spans="4:5" x14ac:dyDescent="0.2">
      <c r="D2922" s="52"/>
      <c r="E2922" s="52"/>
    </row>
    <row r="2923" spans="4:5" x14ac:dyDescent="0.2">
      <c r="D2923" s="52"/>
      <c r="E2923" s="52"/>
    </row>
    <row r="2924" spans="4:5" x14ac:dyDescent="0.2">
      <c r="D2924" s="52"/>
      <c r="E2924" s="52"/>
    </row>
    <row r="2925" spans="4:5" x14ac:dyDescent="0.2">
      <c r="D2925" s="52"/>
      <c r="E2925" s="52"/>
    </row>
    <row r="2926" spans="4:5" x14ac:dyDescent="0.2">
      <c r="D2926" s="52"/>
      <c r="E2926" s="52"/>
    </row>
    <row r="2927" spans="4:5" x14ac:dyDescent="0.2">
      <c r="D2927" s="52"/>
      <c r="E2927" s="52"/>
    </row>
    <row r="2928" spans="4:5" x14ac:dyDescent="0.2">
      <c r="D2928" s="52"/>
      <c r="E2928" s="52"/>
    </row>
    <row r="2929" spans="4:5" x14ac:dyDescent="0.2">
      <c r="D2929" s="52"/>
      <c r="E2929" s="52"/>
    </row>
    <row r="2930" spans="4:5" x14ac:dyDescent="0.2">
      <c r="D2930" s="52"/>
      <c r="E2930" s="52"/>
    </row>
    <row r="2931" spans="4:5" x14ac:dyDescent="0.2">
      <c r="D2931" s="52"/>
      <c r="E2931" s="52"/>
    </row>
    <row r="2932" spans="4:5" x14ac:dyDescent="0.2">
      <c r="D2932" s="52"/>
      <c r="E2932" s="52"/>
    </row>
    <row r="2933" spans="4:5" x14ac:dyDescent="0.2">
      <c r="D2933" s="52"/>
      <c r="E2933" s="52"/>
    </row>
    <row r="2934" spans="4:5" x14ac:dyDescent="0.2">
      <c r="D2934" s="52"/>
      <c r="E2934" s="52"/>
    </row>
    <row r="2935" spans="4:5" x14ac:dyDescent="0.2">
      <c r="D2935" s="52"/>
      <c r="E2935" s="52"/>
    </row>
    <row r="2936" spans="4:5" x14ac:dyDescent="0.2">
      <c r="D2936" s="52"/>
      <c r="E2936" s="52"/>
    </row>
    <row r="2937" spans="4:5" x14ac:dyDescent="0.2">
      <c r="D2937" s="52"/>
      <c r="E2937" s="52"/>
    </row>
    <row r="2938" spans="4:5" x14ac:dyDescent="0.2">
      <c r="D2938" s="52"/>
      <c r="E2938" s="52"/>
    </row>
    <row r="2939" spans="4:5" x14ac:dyDescent="0.2">
      <c r="D2939" s="52"/>
      <c r="E2939" s="52"/>
    </row>
    <row r="2940" spans="4:5" x14ac:dyDescent="0.2">
      <c r="D2940" s="52"/>
      <c r="E2940" s="52"/>
    </row>
    <row r="2941" spans="4:5" x14ac:dyDescent="0.2">
      <c r="D2941" s="52"/>
      <c r="E2941" s="52"/>
    </row>
    <row r="2942" spans="4:5" x14ac:dyDescent="0.2">
      <c r="D2942" s="52"/>
      <c r="E2942" s="52"/>
    </row>
    <row r="2943" spans="4:5" x14ac:dyDescent="0.2">
      <c r="D2943" s="52"/>
      <c r="E2943" s="52"/>
    </row>
    <row r="2944" spans="4:5" x14ac:dyDescent="0.2">
      <c r="D2944" s="52"/>
      <c r="E2944" s="52"/>
    </row>
    <row r="2945" spans="4:5" x14ac:dyDescent="0.2">
      <c r="D2945" s="52"/>
      <c r="E2945" s="52"/>
    </row>
    <row r="2946" spans="4:5" x14ac:dyDescent="0.2">
      <c r="D2946" s="52"/>
      <c r="E2946" s="52"/>
    </row>
    <row r="2947" spans="4:5" x14ac:dyDescent="0.2">
      <c r="D2947" s="52"/>
      <c r="E2947" s="52"/>
    </row>
    <row r="2948" spans="4:5" x14ac:dyDescent="0.2">
      <c r="D2948" s="52"/>
      <c r="E2948" s="52"/>
    </row>
    <row r="2949" spans="4:5" x14ac:dyDescent="0.2">
      <c r="D2949" s="52"/>
      <c r="E2949" s="52"/>
    </row>
    <row r="2950" spans="4:5" x14ac:dyDescent="0.2">
      <c r="D2950" s="52"/>
      <c r="E2950" s="52"/>
    </row>
    <row r="2951" spans="4:5" x14ac:dyDescent="0.2">
      <c r="D2951" s="52"/>
      <c r="E2951" s="52"/>
    </row>
    <row r="2952" spans="4:5" x14ac:dyDescent="0.2">
      <c r="D2952" s="52"/>
      <c r="E2952" s="52"/>
    </row>
    <row r="2953" spans="4:5" x14ac:dyDescent="0.2">
      <c r="D2953" s="52"/>
      <c r="E2953" s="52"/>
    </row>
    <row r="2954" spans="4:5" x14ac:dyDescent="0.2">
      <c r="D2954" s="52"/>
      <c r="E2954" s="52"/>
    </row>
    <row r="2955" spans="4:5" x14ac:dyDescent="0.2">
      <c r="D2955" s="52"/>
      <c r="E2955" s="52"/>
    </row>
    <row r="2956" spans="4:5" x14ac:dyDescent="0.2">
      <c r="D2956" s="52"/>
      <c r="E2956" s="52"/>
    </row>
    <row r="2957" spans="4:5" x14ac:dyDescent="0.2">
      <c r="D2957" s="52"/>
      <c r="E2957" s="52"/>
    </row>
    <row r="2958" spans="4:5" x14ac:dyDescent="0.2">
      <c r="D2958" s="52"/>
      <c r="E2958" s="52"/>
    </row>
    <row r="2959" spans="4:5" x14ac:dyDescent="0.2">
      <c r="D2959" s="52"/>
      <c r="E2959" s="52"/>
    </row>
    <row r="2960" spans="4:5" x14ac:dyDescent="0.2">
      <c r="D2960" s="52"/>
      <c r="E2960" s="52"/>
    </row>
    <row r="2961" spans="4:5" x14ac:dyDescent="0.2">
      <c r="D2961" s="52"/>
      <c r="E2961" s="52"/>
    </row>
    <row r="2962" spans="4:5" x14ac:dyDescent="0.2">
      <c r="D2962" s="52"/>
      <c r="E2962" s="52"/>
    </row>
    <row r="2963" spans="4:5" x14ac:dyDescent="0.2">
      <c r="D2963" s="52"/>
      <c r="E2963" s="52"/>
    </row>
    <row r="2964" spans="4:5" x14ac:dyDescent="0.2">
      <c r="D2964" s="52"/>
      <c r="E2964" s="52"/>
    </row>
    <row r="2965" spans="4:5" x14ac:dyDescent="0.2">
      <c r="D2965" s="52"/>
      <c r="E2965" s="52"/>
    </row>
    <row r="2966" spans="4:5" x14ac:dyDescent="0.2">
      <c r="D2966" s="52"/>
      <c r="E2966" s="52"/>
    </row>
    <row r="2967" spans="4:5" x14ac:dyDescent="0.2">
      <c r="D2967" s="52"/>
      <c r="E2967" s="52"/>
    </row>
    <row r="2968" spans="4:5" x14ac:dyDescent="0.2">
      <c r="D2968" s="52"/>
      <c r="E2968" s="52"/>
    </row>
    <row r="2969" spans="4:5" x14ac:dyDescent="0.2">
      <c r="D2969" s="52"/>
      <c r="E2969" s="52"/>
    </row>
    <row r="2970" spans="4:5" x14ac:dyDescent="0.2">
      <c r="D2970" s="52"/>
      <c r="E2970" s="52"/>
    </row>
    <row r="2971" spans="4:5" x14ac:dyDescent="0.2">
      <c r="D2971" s="52"/>
      <c r="E2971" s="52"/>
    </row>
    <row r="2972" spans="4:5" x14ac:dyDescent="0.2">
      <c r="D2972" s="52"/>
      <c r="E2972" s="52"/>
    </row>
    <row r="2973" spans="4:5" x14ac:dyDescent="0.2">
      <c r="D2973" s="52"/>
      <c r="E2973" s="52"/>
    </row>
    <row r="2974" spans="4:5" x14ac:dyDescent="0.2">
      <c r="D2974" s="52"/>
      <c r="E2974" s="52"/>
    </row>
    <row r="2975" spans="4:5" x14ac:dyDescent="0.2">
      <c r="D2975" s="52"/>
      <c r="E2975" s="52"/>
    </row>
    <row r="2976" spans="4:5" x14ac:dyDescent="0.2">
      <c r="D2976" s="52"/>
      <c r="E2976" s="52"/>
    </row>
    <row r="2977" spans="4:5" x14ac:dyDescent="0.2">
      <c r="D2977" s="52"/>
      <c r="E2977" s="52"/>
    </row>
    <row r="2978" spans="4:5" x14ac:dyDescent="0.2">
      <c r="D2978" s="52"/>
      <c r="E2978" s="52"/>
    </row>
    <row r="2979" spans="4:5" x14ac:dyDescent="0.2">
      <c r="D2979" s="52"/>
      <c r="E2979" s="52"/>
    </row>
    <row r="2980" spans="4:5" x14ac:dyDescent="0.2">
      <c r="D2980" s="52"/>
      <c r="E2980" s="52"/>
    </row>
    <row r="2981" spans="4:5" x14ac:dyDescent="0.2">
      <c r="D2981" s="52"/>
      <c r="E2981" s="52"/>
    </row>
    <row r="2982" spans="4:5" x14ac:dyDescent="0.2">
      <c r="D2982" s="52"/>
      <c r="E2982" s="52"/>
    </row>
    <row r="2983" spans="4:5" x14ac:dyDescent="0.2">
      <c r="D2983" s="52"/>
      <c r="E2983" s="52"/>
    </row>
    <row r="2984" spans="4:5" x14ac:dyDescent="0.2">
      <c r="D2984" s="52"/>
      <c r="E2984" s="52"/>
    </row>
    <row r="2985" spans="4:5" x14ac:dyDescent="0.2">
      <c r="D2985" s="52"/>
      <c r="E2985" s="52"/>
    </row>
    <row r="2986" spans="4:5" x14ac:dyDescent="0.2">
      <c r="D2986" s="52"/>
      <c r="E2986" s="52"/>
    </row>
    <row r="2987" spans="4:5" x14ac:dyDescent="0.2">
      <c r="D2987" s="52"/>
      <c r="E2987" s="52"/>
    </row>
    <row r="2988" spans="4:5" x14ac:dyDescent="0.2">
      <c r="D2988" s="52"/>
      <c r="E2988" s="52"/>
    </row>
    <row r="2989" spans="4:5" x14ac:dyDescent="0.2">
      <c r="D2989" s="52"/>
      <c r="E2989" s="52"/>
    </row>
    <row r="2990" spans="4:5" x14ac:dyDescent="0.2">
      <c r="D2990" s="52"/>
      <c r="E2990" s="52"/>
    </row>
    <row r="2991" spans="4:5" x14ac:dyDescent="0.2">
      <c r="D2991" s="52"/>
      <c r="E2991" s="52"/>
    </row>
    <row r="2992" spans="4:5" x14ac:dyDescent="0.2">
      <c r="D2992" s="52"/>
      <c r="E2992" s="52"/>
    </row>
    <row r="2993" spans="4:5" x14ac:dyDescent="0.2">
      <c r="D2993" s="52"/>
      <c r="E2993" s="52"/>
    </row>
    <row r="2994" spans="4:5" x14ac:dyDescent="0.2">
      <c r="D2994" s="52"/>
      <c r="E2994" s="52"/>
    </row>
    <row r="2995" spans="4:5" x14ac:dyDescent="0.2">
      <c r="D2995" s="52"/>
      <c r="E2995" s="52"/>
    </row>
    <row r="2996" spans="4:5" x14ac:dyDescent="0.2">
      <c r="D2996" s="52"/>
      <c r="E2996" s="52"/>
    </row>
    <row r="2997" spans="4:5" x14ac:dyDescent="0.2">
      <c r="D2997" s="52"/>
      <c r="E2997" s="52"/>
    </row>
    <row r="2998" spans="4:5" x14ac:dyDescent="0.2">
      <c r="D2998" s="52"/>
      <c r="E2998" s="52"/>
    </row>
    <row r="2999" spans="4:5" x14ac:dyDescent="0.2">
      <c r="D2999" s="52"/>
      <c r="E2999" s="52"/>
    </row>
    <row r="3000" spans="4:5" x14ac:dyDescent="0.2">
      <c r="D3000" s="52"/>
      <c r="E3000" s="52"/>
    </row>
    <row r="3001" spans="4:5" x14ac:dyDescent="0.2">
      <c r="D3001" s="52"/>
      <c r="E3001" s="52"/>
    </row>
    <row r="3002" spans="4:5" x14ac:dyDescent="0.2">
      <c r="D3002" s="52"/>
      <c r="E3002" s="52"/>
    </row>
    <row r="3003" spans="4:5" x14ac:dyDescent="0.2">
      <c r="D3003" s="52"/>
      <c r="E3003" s="52"/>
    </row>
    <row r="3004" spans="4:5" x14ac:dyDescent="0.2">
      <c r="D3004" s="52"/>
      <c r="E3004" s="52"/>
    </row>
    <row r="3005" spans="4:5" x14ac:dyDescent="0.2">
      <c r="D3005" s="52"/>
      <c r="E3005" s="52"/>
    </row>
    <row r="3006" spans="4:5" x14ac:dyDescent="0.2">
      <c r="D3006" s="52"/>
      <c r="E3006" s="52"/>
    </row>
    <row r="3007" spans="4:5" x14ac:dyDescent="0.2">
      <c r="D3007" s="52"/>
      <c r="E3007" s="52"/>
    </row>
    <row r="3008" spans="4:5" x14ac:dyDescent="0.2">
      <c r="D3008" s="52"/>
      <c r="E3008" s="52"/>
    </row>
    <row r="3009" spans="4:5" x14ac:dyDescent="0.2">
      <c r="D3009" s="52"/>
      <c r="E3009" s="52"/>
    </row>
    <row r="3010" spans="4:5" x14ac:dyDescent="0.2">
      <c r="D3010" s="52"/>
      <c r="E3010" s="52"/>
    </row>
    <row r="3011" spans="4:5" x14ac:dyDescent="0.2">
      <c r="D3011" s="52"/>
      <c r="E3011" s="52"/>
    </row>
    <row r="3012" spans="4:5" x14ac:dyDescent="0.2">
      <c r="D3012" s="52"/>
      <c r="E3012" s="52"/>
    </row>
    <row r="3013" spans="4:5" x14ac:dyDescent="0.2">
      <c r="D3013" s="52"/>
      <c r="E3013" s="52"/>
    </row>
    <row r="3014" spans="4:5" x14ac:dyDescent="0.2">
      <c r="D3014" s="52"/>
      <c r="E3014" s="52"/>
    </row>
    <row r="3015" spans="4:5" x14ac:dyDescent="0.2">
      <c r="D3015" s="52"/>
      <c r="E3015" s="52"/>
    </row>
    <row r="3016" spans="4:5" x14ac:dyDescent="0.2">
      <c r="D3016" s="52"/>
      <c r="E3016" s="52"/>
    </row>
    <row r="3017" spans="4:5" x14ac:dyDescent="0.2">
      <c r="D3017" s="52"/>
      <c r="E3017" s="52"/>
    </row>
    <row r="3018" spans="4:5" x14ac:dyDescent="0.2">
      <c r="D3018" s="52"/>
      <c r="E3018" s="52"/>
    </row>
    <row r="3019" spans="4:5" x14ac:dyDescent="0.2">
      <c r="D3019" s="52"/>
      <c r="E3019" s="52"/>
    </row>
    <row r="3020" spans="4:5" x14ac:dyDescent="0.2">
      <c r="D3020" s="52"/>
      <c r="E3020" s="52"/>
    </row>
    <row r="3021" spans="4:5" x14ac:dyDescent="0.2">
      <c r="D3021" s="52"/>
      <c r="E3021" s="52"/>
    </row>
    <row r="3022" spans="4:5" x14ac:dyDescent="0.2">
      <c r="D3022" s="52"/>
      <c r="E3022" s="52"/>
    </row>
    <row r="3023" spans="4:5" x14ac:dyDescent="0.2">
      <c r="D3023" s="52"/>
      <c r="E3023" s="52"/>
    </row>
    <row r="3024" spans="4:5" x14ac:dyDescent="0.2">
      <c r="D3024" s="52"/>
      <c r="E3024" s="52"/>
    </row>
    <row r="3025" spans="4:5" x14ac:dyDescent="0.2">
      <c r="D3025" s="52"/>
      <c r="E3025" s="52"/>
    </row>
    <row r="3026" spans="4:5" x14ac:dyDescent="0.2">
      <c r="D3026" s="52"/>
      <c r="E3026" s="52"/>
    </row>
    <row r="3027" spans="4:5" x14ac:dyDescent="0.2">
      <c r="D3027" s="52"/>
      <c r="E3027" s="52"/>
    </row>
    <row r="3028" spans="4:5" x14ac:dyDescent="0.2">
      <c r="D3028" s="52"/>
      <c r="E3028" s="52"/>
    </row>
    <row r="3029" spans="4:5" x14ac:dyDescent="0.2">
      <c r="D3029" s="52"/>
      <c r="E3029" s="52"/>
    </row>
    <row r="3030" spans="4:5" x14ac:dyDescent="0.2">
      <c r="D3030" s="52"/>
      <c r="E3030" s="52"/>
    </row>
    <row r="3031" spans="4:5" x14ac:dyDescent="0.2">
      <c r="D3031" s="52"/>
      <c r="E3031" s="52"/>
    </row>
    <row r="3032" spans="4:5" x14ac:dyDescent="0.2">
      <c r="D3032" s="52"/>
      <c r="E3032" s="52"/>
    </row>
    <row r="3033" spans="4:5" x14ac:dyDescent="0.2">
      <c r="D3033" s="52"/>
      <c r="E3033" s="52"/>
    </row>
    <row r="3034" spans="4:5" x14ac:dyDescent="0.2">
      <c r="D3034" s="52"/>
      <c r="E3034" s="52"/>
    </row>
    <row r="3035" spans="4:5" x14ac:dyDescent="0.2">
      <c r="D3035" s="52"/>
      <c r="E3035" s="52"/>
    </row>
    <row r="3036" spans="4:5" x14ac:dyDescent="0.2">
      <c r="D3036" s="52"/>
      <c r="E3036" s="52"/>
    </row>
    <row r="3037" spans="4:5" x14ac:dyDescent="0.2">
      <c r="D3037" s="52"/>
      <c r="E3037" s="52"/>
    </row>
    <row r="3038" spans="4:5" x14ac:dyDescent="0.2">
      <c r="D3038" s="52"/>
      <c r="E3038" s="52"/>
    </row>
    <row r="3039" spans="4:5" x14ac:dyDescent="0.2">
      <c r="D3039" s="52"/>
      <c r="E3039" s="52"/>
    </row>
    <row r="3040" spans="4:5" x14ac:dyDescent="0.2">
      <c r="D3040" s="52"/>
      <c r="E3040" s="52"/>
    </row>
    <row r="3041" spans="4:5" x14ac:dyDescent="0.2">
      <c r="D3041" s="52"/>
      <c r="E3041" s="52"/>
    </row>
    <row r="3042" spans="4:5" x14ac:dyDescent="0.2">
      <c r="D3042" s="52"/>
      <c r="E3042" s="52"/>
    </row>
    <row r="3043" spans="4:5" x14ac:dyDescent="0.2">
      <c r="D3043" s="52"/>
      <c r="E3043" s="52"/>
    </row>
    <row r="3044" spans="4:5" x14ac:dyDescent="0.2">
      <c r="D3044" s="52"/>
      <c r="E3044" s="52"/>
    </row>
    <row r="3045" spans="4:5" x14ac:dyDescent="0.2">
      <c r="D3045" s="52"/>
      <c r="E3045" s="52"/>
    </row>
    <row r="3046" spans="4:5" x14ac:dyDescent="0.2">
      <c r="D3046" s="52"/>
      <c r="E3046" s="52"/>
    </row>
    <row r="3047" spans="4:5" x14ac:dyDescent="0.2">
      <c r="D3047" s="52"/>
      <c r="E3047" s="52"/>
    </row>
    <row r="3048" spans="4:5" x14ac:dyDescent="0.2">
      <c r="D3048" s="52"/>
      <c r="E3048" s="52"/>
    </row>
    <row r="3049" spans="4:5" x14ac:dyDescent="0.2">
      <c r="D3049" s="52"/>
      <c r="E3049" s="52"/>
    </row>
    <row r="3050" spans="4:5" x14ac:dyDescent="0.2">
      <c r="D3050" s="52"/>
      <c r="E3050" s="52"/>
    </row>
    <row r="3051" spans="4:5" x14ac:dyDescent="0.2">
      <c r="D3051" s="52"/>
      <c r="E3051" s="52"/>
    </row>
    <row r="3052" spans="4:5" x14ac:dyDescent="0.2">
      <c r="D3052" s="52"/>
      <c r="E3052" s="52"/>
    </row>
    <row r="3053" spans="4:5" x14ac:dyDescent="0.2">
      <c r="D3053" s="52"/>
      <c r="E3053" s="52"/>
    </row>
    <row r="3054" spans="4:5" x14ac:dyDescent="0.2">
      <c r="D3054" s="52"/>
      <c r="E3054" s="52"/>
    </row>
    <row r="3055" spans="4:5" x14ac:dyDescent="0.2">
      <c r="D3055" s="52"/>
      <c r="E3055" s="52"/>
    </row>
    <row r="3056" spans="4:5" x14ac:dyDescent="0.2">
      <c r="D3056" s="52"/>
      <c r="E3056" s="52"/>
    </row>
    <row r="3057" spans="4:5" x14ac:dyDescent="0.2">
      <c r="D3057" s="52"/>
      <c r="E3057" s="52"/>
    </row>
    <row r="3058" spans="4:5" x14ac:dyDescent="0.2">
      <c r="D3058" s="52"/>
      <c r="E3058" s="52"/>
    </row>
    <row r="3059" spans="4:5" x14ac:dyDescent="0.2">
      <c r="D3059" s="52"/>
      <c r="E3059" s="52"/>
    </row>
    <row r="3060" spans="4:5" x14ac:dyDescent="0.2">
      <c r="D3060" s="52"/>
      <c r="E3060" s="52"/>
    </row>
    <row r="3061" spans="4:5" x14ac:dyDescent="0.2">
      <c r="D3061" s="52"/>
      <c r="E3061" s="52"/>
    </row>
    <row r="3062" spans="4:5" x14ac:dyDescent="0.2">
      <c r="D3062" s="52"/>
      <c r="E3062" s="52"/>
    </row>
    <row r="3063" spans="4:5" x14ac:dyDescent="0.2">
      <c r="D3063" s="52"/>
      <c r="E3063" s="52"/>
    </row>
    <row r="3064" spans="4:5" x14ac:dyDescent="0.2">
      <c r="D3064" s="52"/>
      <c r="E3064" s="52"/>
    </row>
    <row r="3065" spans="4:5" x14ac:dyDescent="0.2">
      <c r="D3065" s="52"/>
      <c r="E3065" s="52"/>
    </row>
    <row r="3066" spans="4:5" x14ac:dyDescent="0.2">
      <c r="D3066" s="52"/>
      <c r="E3066" s="52"/>
    </row>
    <row r="3067" spans="4:5" x14ac:dyDescent="0.2">
      <c r="D3067" s="52"/>
      <c r="E3067" s="52"/>
    </row>
    <row r="3068" spans="4:5" x14ac:dyDescent="0.2">
      <c r="D3068" s="52"/>
      <c r="E3068" s="52"/>
    </row>
    <row r="3069" spans="4:5" x14ac:dyDescent="0.2">
      <c r="D3069" s="52"/>
      <c r="E3069" s="52"/>
    </row>
    <row r="3070" spans="4:5" x14ac:dyDescent="0.2">
      <c r="D3070" s="52"/>
      <c r="E3070" s="52"/>
    </row>
    <row r="3071" spans="4:5" x14ac:dyDescent="0.2">
      <c r="D3071" s="52"/>
      <c r="E3071" s="52"/>
    </row>
    <row r="3072" spans="4:5" x14ac:dyDescent="0.2">
      <c r="D3072" s="52"/>
      <c r="E3072" s="52"/>
    </row>
    <row r="3073" spans="4:5" x14ac:dyDescent="0.2">
      <c r="D3073" s="52"/>
      <c r="E3073" s="52"/>
    </row>
    <row r="3074" spans="4:5" x14ac:dyDescent="0.2">
      <c r="D3074" s="52"/>
      <c r="E3074" s="52"/>
    </row>
    <row r="3075" spans="4:5" x14ac:dyDescent="0.2">
      <c r="D3075" s="52"/>
      <c r="E3075" s="52"/>
    </row>
    <row r="3076" spans="4:5" x14ac:dyDescent="0.2">
      <c r="D3076" s="52"/>
      <c r="E3076" s="52"/>
    </row>
    <row r="3077" spans="4:5" x14ac:dyDescent="0.2">
      <c r="D3077" s="52"/>
      <c r="E3077" s="52"/>
    </row>
    <row r="3078" spans="4:5" x14ac:dyDescent="0.2">
      <c r="D3078" s="52"/>
      <c r="E3078" s="52"/>
    </row>
    <row r="3079" spans="4:5" x14ac:dyDescent="0.2">
      <c r="D3079" s="52"/>
      <c r="E3079" s="52"/>
    </row>
    <row r="3080" spans="4:5" x14ac:dyDescent="0.2">
      <c r="D3080" s="52"/>
      <c r="E3080" s="52"/>
    </row>
    <row r="3081" spans="4:5" x14ac:dyDescent="0.2">
      <c r="D3081" s="52"/>
      <c r="E3081" s="52"/>
    </row>
    <row r="3082" spans="4:5" x14ac:dyDescent="0.2">
      <c r="D3082" s="52"/>
      <c r="E3082" s="52"/>
    </row>
    <row r="3083" spans="4:5" x14ac:dyDescent="0.2">
      <c r="D3083" s="52"/>
      <c r="E3083" s="52"/>
    </row>
    <row r="3084" spans="4:5" x14ac:dyDescent="0.2">
      <c r="D3084" s="52"/>
      <c r="E3084" s="52"/>
    </row>
    <row r="3085" spans="4:5" x14ac:dyDescent="0.2">
      <c r="D3085" s="52"/>
      <c r="E3085" s="52"/>
    </row>
    <row r="3086" spans="4:5" x14ac:dyDescent="0.2">
      <c r="D3086" s="52"/>
      <c r="E3086" s="52"/>
    </row>
    <row r="3087" spans="4:5" x14ac:dyDescent="0.2">
      <c r="D3087" s="52"/>
      <c r="E3087" s="52"/>
    </row>
    <row r="3088" spans="4:5" x14ac:dyDescent="0.2">
      <c r="D3088" s="52"/>
      <c r="E3088" s="52"/>
    </row>
    <row r="3089" spans="4:5" x14ac:dyDescent="0.2">
      <c r="D3089" s="52"/>
      <c r="E3089" s="52"/>
    </row>
    <row r="3090" spans="4:5" x14ac:dyDescent="0.2">
      <c r="D3090" s="52"/>
      <c r="E3090" s="52"/>
    </row>
    <row r="3091" spans="4:5" x14ac:dyDescent="0.2">
      <c r="D3091" s="52"/>
      <c r="E3091" s="52"/>
    </row>
    <row r="3092" spans="4:5" x14ac:dyDescent="0.2">
      <c r="D3092" s="52"/>
      <c r="E3092" s="52"/>
    </row>
    <row r="3093" spans="4:5" x14ac:dyDescent="0.2">
      <c r="D3093" s="52"/>
      <c r="E3093" s="52"/>
    </row>
    <row r="3094" spans="4:5" x14ac:dyDescent="0.2">
      <c r="D3094" s="52"/>
      <c r="E3094" s="52"/>
    </row>
    <row r="3095" spans="4:5" x14ac:dyDescent="0.2">
      <c r="D3095" s="52"/>
      <c r="E3095" s="52"/>
    </row>
    <row r="3096" spans="4:5" x14ac:dyDescent="0.2">
      <c r="D3096" s="52"/>
      <c r="E3096" s="52"/>
    </row>
    <row r="3097" spans="4:5" x14ac:dyDescent="0.2">
      <c r="D3097" s="52"/>
      <c r="E3097" s="52"/>
    </row>
    <row r="3098" spans="4:5" x14ac:dyDescent="0.2">
      <c r="D3098" s="52"/>
      <c r="E3098" s="52"/>
    </row>
    <row r="3099" spans="4:5" x14ac:dyDescent="0.2">
      <c r="D3099" s="52"/>
      <c r="E3099" s="52"/>
    </row>
    <row r="3100" spans="4:5" x14ac:dyDescent="0.2">
      <c r="D3100" s="52"/>
      <c r="E3100" s="52"/>
    </row>
    <row r="3101" spans="4:5" x14ac:dyDescent="0.2">
      <c r="D3101" s="52"/>
      <c r="E3101" s="52"/>
    </row>
    <row r="3102" spans="4:5" x14ac:dyDescent="0.2">
      <c r="D3102" s="52"/>
      <c r="E3102" s="52"/>
    </row>
    <row r="3103" spans="4:5" x14ac:dyDescent="0.2">
      <c r="D3103" s="52"/>
      <c r="E3103" s="52"/>
    </row>
    <row r="3104" spans="4:5" x14ac:dyDescent="0.2">
      <c r="D3104" s="52"/>
      <c r="E3104" s="52"/>
    </row>
    <row r="3105" spans="4:5" x14ac:dyDescent="0.2">
      <c r="D3105" s="52"/>
      <c r="E3105" s="52"/>
    </row>
    <row r="3106" spans="4:5" x14ac:dyDescent="0.2">
      <c r="D3106" s="52"/>
      <c r="E3106" s="52"/>
    </row>
    <row r="3107" spans="4:5" x14ac:dyDescent="0.2">
      <c r="D3107" s="52"/>
      <c r="E3107" s="52"/>
    </row>
    <row r="3108" spans="4:5" x14ac:dyDescent="0.2">
      <c r="D3108" s="52"/>
      <c r="E3108" s="52"/>
    </row>
    <row r="3109" spans="4:5" x14ac:dyDescent="0.2">
      <c r="D3109" s="52"/>
      <c r="E3109" s="52"/>
    </row>
    <row r="3110" spans="4:5" x14ac:dyDescent="0.2">
      <c r="D3110" s="52"/>
      <c r="E3110" s="52"/>
    </row>
    <row r="3111" spans="4:5" x14ac:dyDescent="0.2">
      <c r="D3111" s="52"/>
      <c r="E3111" s="52"/>
    </row>
    <row r="3112" spans="4:5" x14ac:dyDescent="0.2">
      <c r="D3112" s="52"/>
      <c r="E3112" s="52"/>
    </row>
    <row r="3113" spans="4:5" x14ac:dyDescent="0.2">
      <c r="D3113" s="52"/>
      <c r="E3113" s="52"/>
    </row>
    <row r="3114" spans="4:5" x14ac:dyDescent="0.2">
      <c r="D3114" s="52"/>
      <c r="E3114" s="52"/>
    </row>
    <row r="3115" spans="4:5" x14ac:dyDescent="0.2">
      <c r="D3115" s="52"/>
      <c r="E3115" s="52"/>
    </row>
    <row r="3116" spans="4:5" x14ac:dyDescent="0.2">
      <c r="D3116" s="52"/>
      <c r="E3116" s="52"/>
    </row>
    <row r="3117" spans="4:5" x14ac:dyDescent="0.2">
      <c r="D3117" s="52"/>
      <c r="E3117" s="52"/>
    </row>
    <row r="3118" spans="4:5" x14ac:dyDescent="0.2">
      <c r="D3118" s="52"/>
      <c r="E3118" s="52"/>
    </row>
    <row r="3119" spans="4:5" x14ac:dyDescent="0.2">
      <c r="D3119" s="52"/>
      <c r="E3119" s="52"/>
    </row>
    <row r="3120" spans="4:5" x14ac:dyDescent="0.2">
      <c r="D3120" s="52"/>
      <c r="E3120" s="52"/>
    </row>
    <row r="3121" spans="4:5" x14ac:dyDescent="0.2">
      <c r="D3121" s="52"/>
      <c r="E3121" s="52"/>
    </row>
    <row r="3122" spans="4:5" x14ac:dyDescent="0.2">
      <c r="D3122" s="52"/>
      <c r="E3122" s="52"/>
    </row>
    <row r="3123" spans="4:5" x14ac:dyDescent="0.2">
      <c r="D3123" s="52"/>
      <c r="E3123" s="52"/>
    </row>
    <row r="3124" spans="4:5" x14ac:dyDescent="0.2">
      <c r="D3124" s="52"/>
      <c r="E3124" s="52"/>
    </row>
    <row r="3125" spans="4:5" x14ac:dyDescent="0.2">
      <c r="D3125" s="52"/>
      <c r="E3125" s="52"/>
    </row>
    <row r="3126" spans="4:5" x14ac:dyDescent="0.2">
      <c r="D3126" s="52"/>
      <c r="E3126" s="52"/>
    </row>
    <row r="3127" spans="4:5" x14ac:dyDescent="0.2">
      <c r="D3127" s="52"/>
      <c r="E3127" s="52"/>
    </row>
    <row r="3128" spans="4:5" x14ac:dyDescent="0.2">
      <c r="D3128" s="52"/>
      <c r="E3128" s="52"/>
    </row>
    <row r="3129" spans="4:5" x14ac:dyDescent="0.2">
      <c r="D3129" s="52"/>
      <c r="E3129" s="52"/>
    </row>
    <row r="3130" spans="4:5" x14ac:dyDescent="0.2">
      <c r="D3130" s="52"/>
      <c r="E3130" s="52"/>
    </row>
    <row r="3131" spans="4:5" x14ac:dyDescent="0.2">
      <c r="D3131" s="52"/>
      <c r="E3131" s="52"/>
    </row>
    <row r="3132" spans="4:5" x14ac:dyDescent="0.2">
      <c r="D3132" s="52"/>
      <c r="E3132" s="52"/>
    </row>
    <row r="3133" spans="4:5" x14ac:dyDescent="0.2">
      <c r="D3133" s="52"/>
      <c r="E3133" s="52"/>
    </row>
    <row r="3134" spans="4:5" x14ac:dyDescent="0.2">
      <c r="D3134" s="52"/>
      <c r="E3134" s="52"/>
    </row>
    <row r="3135" spans="4:5" x14ac:dyDescent="0.2">
      <c r="D3135" s="52"/>
      <c r="E3135" s="52"/>
    </row>
    <row r="3136" spans="4:5" x14ac:dyDescent="0.2">
      <c r="D3136" s="52"/>
      <c r="E3136" s="52"/>
    </row>
    <row r="3137" spans="4:5" x14ac:dyDescent="0.2">
      <c r="D3137" s="52"/>
      <c r="E3137" s="52"/>
    </row>
    <row r="3138" spans="4:5" x14ac:dyDescent="0.2">
      <c r="D3138" s="52"/>
      <c r="E3138" s="52"/>
    </row>
    <row r="3139" spans="4:5" x14ac:dyDescent="0.2">
      <c r="D3139" s="52"/>
      <c r="E3139" s="52"/>
    </row>
    <row r="3140" spans="4:5" x14ac:dyDescent="0.2">
      <c r="D3140" s="52"/>
      <c r="E3140" s="52"/>
    </row>
    <row r="3141" spans="4:5" x14ac:dyDescent="0.2">
      <c r="D3141" s="52"/>
      <c r="E3141" s="52"/>
    </row>
    <row r="3142" spans="4:5" x14ac:dyDescent="0.2">
      <c r="D3142" s="52"/>
      <c r="E3142" s="52"/>
    </row>
    <row r="3143" spans="4:5" x14ac:dyDescent="0.2">
      <c r="D3143" s="52"/>
      <c r="E3143" s="52"/>
    </row>
    <row r="3144" spans="4:5" x14ac:dyDescent="0.2">
      <c r="D3144" s="52"/>
      <c r="E3144" s="52"/>
    </row>
    <row r="3145" spans="4:5" x14ac:dyDescent="0.2">
      <c r="D3145" s="52"/>
      <c r="E3145" s="52"/>
    </row>
    <row r="3146" spans="4:5" x14ac:dyDescent="0.2">
      <c r="D3146" s="52"/>
      <c r="E3146" s="52"/>
    </row>
    <row r="3147" spans="4:5" x14ac:dyDescent="0.2">
      <c r="D3147" s="52"/>
      <c r="E3147" s="52"/>
    </row>
    <row r="3148" spans="4:5" x14ac:dyDescent="0.2">
      <c r="D3148" s="52"/>
      <c r="E3148" s="52"/>
    </row>
    <row r="3149" spans="4:5" x14ac:dyDescent="0.2">
      <c r="D3149" s="52"/>
      <c r="E3149" s="52"/>
    </row>
    <row r="3150" spans="4:5" x14ac:dyDescent="0.2">
      <c r="D3150" s="52"/>
      <c r="E3150" s="52"/>
    </row>
    <row r="3151" spans="4:5" x14ac:dyDescent="0.2">
      <c r="D3151" s="52"/>
      <c r="E3151" s="52"/>
    </row>
    <row r="3152" spans="4:5" x14ac:dyDescent="0.2">
      <c r="D3152" s="52"/>
      <c r="E3152" s="52"/>
    </row>
    <row r="3153" spans="4:5" x14ac:dyDescent="0.2">
      <c r="D3153" s="52"/>
      <c r="E3153" s="52"/>
    </row>
    <row r="3154" spans="4:5" x14ac:dyDescent="0.2">
      <c r="D3154" s="52"/>
      <c r="E3154" s="52"/>
    </row>
    <row r="3155" spans="4:5" x14ac:dyDescent="0.2">
      <c r="D3155" s="52"/>
      <c r="E3155" s="52"/>
    </row>
    <row r="3156" spans="4:5" x14ac:dyDescent="0.2">
      <c r="D3156" s="52"/>
      <c r="E3156" s="52"/>
    </row>
    <row r="3157" spans="4:5" x14ac:dyDescent="0.2">
      <c r="D3157" s="52"/>
      <c r="E3157" s="52"/>
    </row>
    <row r="3158" spans="4:5" x14ac:dyDescent="0.2">
      <c r="D3158" s="52"/>
      <c r="E3158" s="52"/>
    </row>
    <row r="3159" spans="4:5" x14ac:dyDescent="0.2">
      <c r="D3159" s="52"/>
      <c r="E3159" s="52"/>
    </row>
    <row r="3160" spans="4:5" x14ac:dyDescent="0.2">
      <c r="D3160" s="52"/>
      <c r="E3160" s="52"/>
    </row>
    <row r="3161" spans="4:5" x14ac:dyDescent="0.2">
      <c r="D3161" s="52"/>
      <c r="E3161" s="52"/>
    </row>
    <row r="3162" spans="4:5" x14ac:dyDescent="0.2">
      <c r="D3162" s="52"/>
      <c r="E3162" s="52"/>
    </row>
    <row r="3163" spans="4:5" x14ac:dyDescent="0.2">
      <c r="D3163" s="52"/>
      <c r="E3163" s="52"/>
    </row>
    <row r="3164" spans="4:5" x14ac:dyDescent="0.2">
      <c r="D3164" s="52"/>
      <c r="E3164" s="52"/>
    </row>
    <row r="3165" spans="4:5" x14ac:dyDescent="0.2">
      <c r="D3165" s="52"/>
      <c r="E3165" s="52"/>
    </row>
    <row r="3166" spans="4:5" x14ac:dyDescent="0.2">
      <c r="D3166" s="52"/>
      <c r="E3166" s="52"/>
    </row>
    <row r="3167" spans="4:5" x14ac:dyDescent="0.2">
      <c r="D3167" s="52"/>
      <c r="E3167" s="52"/>
    </row>
    <row r="3168" spans="4:5" x14ac:dyDescent="0.2">
      <c r="D3168" s="52"/>
      <c r="E3168" s="52"/>
    </row>
    <row r="3169" spans="4:5" x14ac:dyDescent="0.2">
      <c r="D3169" s="52"/>
      <c r="E3169" s="52"/>
    </row>
    <row r="3170" spans="4:5" x14ac:dyDescent="0.2">
      <c r="D3170" s="52"/>
      <c r="E3170" s="52"/>
    </row>
    <row r="3171" spans="4:5" x14ac:dyDescent="0.2">
      <c r="D3171" s="52"/>
      <c r="E3171" s="52"/>
    </row>
    <row r="3172" spans="4:5" x14ac:dyDescent="0.2">
      <c r="D3172" s="52"/>
      <c r="E3172" s="52"/>
    </row>
    <row r="3173" spans="4:5" x14ac:dyDescent="0.2">
      <c r="D3173" s="52"/>
      <c r="E3173" s="52"/>
    </row>
    <row r="3174" spans="4:5" x14ac:dyDescent="0.2">
      <c r="D3174" s="52"/>
      <c r="E3174" s="52"/>
    </row>
    <row r="3175" spans="4:5" x14ac:dyDescent="0.2">
      <c r="D3175" s="52"/>
      <c r="E3175" s="52"/>
    </row>
    <row r="3176" spans="4:5" x14ac:dyDescent="0.2">
      <c r="D3176" s="52"/>
      <c r="E3176" s="52"/>
    </row>
    <row r="3177" spans="4:5" x14ac:dyDescent="0.2">
      <c r="D3177" s="52"/>
      <c r="E3177" s="52"/>
    </row>
    <row r="3178" spans="4:5" x14ac:dyDescent="0.2">
      <c r="D3178" s="52"/>
      <c r="E3178" s="52"/>
    </row>
    <row r="3179" spans="4:5" x14ac:dyDescent="0.2">
      <c r="D3179" s="52"/>
      <c r="E3179" s="52"/>
    </row>
    <row r="3180" spans="4:5" x14ac:dyDescent="0.2">
      <c r="D3180" s="52"/>
      <c r="E3180" s="52"/>
    </row>
    <row r="3181" spans="4:5" x14ac:dyDescent="0.2">
      <c r="D3181" s="52"/>
      <c r="E3181" s="52"/>
    </row>
    <row r="3182" spans="4:5" x14ac:dyDescent="0.2">
      <c r="D3182" s="52"/>
      <c r="E3182" s="52"/>
    </row>
    <row r="3183" spans="4:5" x14ac:dyDescent="0.2">
      <c r="D3183" s="52"/>
      <c r="E3183" s="52"/>
    </row>
    <row r="3184" spans="4:5" x14ac:dyDescent="0.2">
      <c r="D3184" s="52"/>
      <c r="E3184" s="52"/>
    </row>
    <row r="3185" spans="4:5" x14ac:dyDescent="0.2">
      <c r="D3185" s="52"/>
      <c r="E3185" s="52"/>
    </row>
    <row r="3186" spans="4:5" x14ac:dyDescent="0.2">
      <c r="D3186" s="52"/>
      <c r="E3186" s="52"/>
    </row>
    <row r="3187" spans="4:5" x14ac:dyDescent="0.2">
      <c r="D3187" s="52"/>
      <c r="E3187" s="52"/>
    </row>
    <row r="3188" spans="4:5" x14ac:dyDescent="0.2">
      <c r="D3188" s="52"/>
      <c r="E3188" s="52"/>
    </row>
    <row r="3189" spans="4:5" x14ac:dyDescent="0.2">
      <c r="D3189" s="52"/>
      <c r="E3189" s="52"/>
    </row>
    <row r="3190" spans="4:5" x14ac:dyDescent="0.2">
      <c r="D3190" s="52"/>
      <c r="E3190" s="52"/>
    </row>
    <row r="3191" spans="4:5" x14ac:dyDescent="0.2">
      <c r="D3191" s="52"/>
      <c r="E3191" s="52"/>
    </row>
    <row r="3192" spans="4:5" x14ac:dyDescent="0.2">
      <c r="D3192" s="52"/>
      <c r="E3192" s="52"/>
    </row>
    <row r="3193" spans="4:5" x14ac:dyDescent="0.2">
      <c r="D3193" s="52"/>
      <c r="E3193" s="52"/>
    </row>
    <row r="3194" spans="4:5" x14ac:dyDescent="0.2">
      <c r="D3194" s="52"/>
      <c r="E3194" s="52"/>
    </row>
    <row r="3195" spans="4:5" x14ac:dyDescent="0.2">
      <c r="D3195" s="52"/>
      <c r="E3195" s="52"/>
    </row>
    <row r="3196" spans="4:5" x14ac:dyDescent="0.2">
      <c r="D3196" s="52"/>
      <c r="E3196" s="52"/>
    </row>
    <row r="3197" spans="4:5" x14ac:dyDescent="0.2">
      <c r="D3197" s="52"/>
      <c r="E3197" s="52"/>
    </row>
    <row r="3198" spans="4:5" x14ac:dyDescent="0.2">
      <c r="D3198" s="52"/>
      <c r="E3198" s="52"/>
    </row>
    <row r="3199" spans="4:5" x14ac:dyDescent="0.2">
      <c r="D3199" s="52"/>
      <c r="E3199" s="52"/>
    </row>
    <row r="3200" spans="4:5" x14ac:dyDescent="0.2">
      <c r="D3200" s="52"/>
      <c r="E3200" s="52"/>
    </row>
    <row r="3201" spans="4:5" x14ac:dyDescent="0.2">
      <c r="D3201" s="52"/>
      <c r="E3201" s="52"/>
    </row>
    <row r="3202" spans="4:5" x14ac:dyDescent="0.2">
      <c r="D3202" s="52"/>
      <c r="E3202" s="52"/>
    </row>
    <row r="3203" spans="4:5" x14ac:dyDescent="0.2">
      <c r="D3203" s="52"/>
      <c r="E3203" s="52"/>
    </row>
    <row r="3204" spans="4:5" x14ac:dyDescent="0.2">
      <c r="D3204" s="52"/>
      <c r="E3204" s="52"/>
    </row>
    <row r="3205" spans="4:5" x14ac:dyDescent="0.2">
      <c r="D3205" s="52"/>
      <c r="E3205" s="52"/>
    </row>
    <row r="3206" spans="4:5" x14ac:dyDescent="0.2">
      <c r="D3206" s="52"/>
      <c r="E3206" s="52"/>
    </row>
    <row r="3207" spans="4:5" x14ac:dyDescent="0.2">
      <c r="D3207" s="52"/>
      <c r="E3207" s="52"/>
    </row>
    <row r="3208" spans="4:5" x14ac:dyDescent="0.2">
      <c r="D3208" s="52"/>
      <c r="E3208" s="52"/>
    </row>
    <row r="3209" spans="4:5" x14ac:dyDescent="0.2">
      <c r="D3209" s="52"/>
      <c r="E3209" s="52"/>
    </row>
    <row r="3210" spans="4:5" x14ac:dyDescent="0.2">
      <c r="D3210" s="52"/>
      <c r="E3210" s="52"/>
    </row>
    <row r="3211" spans="4:5" x14ac:dyDescent="0.2">
      <c r="D3211" s="52"/>
      <c r="E3211" s="52"/>
    </row>
    <row r="3212" spans="4:5" x14ac:dyDescent="0.2">
      <c r="D3212" s="52"/>
      <c r="E3212" s="52"/>
    </row>
    <row r="3213" spans="4:5" x14ac:dyDescent="0.2">
      <c r="D3213" s="52"/>
      <c r="E3213" s="52"/>
    </row>
    <row r="3214" spans="4:5" x14ac:dyDescent="0.2">
      <c r="D3214" s="52"/>
      <c r="E3214" s="52"/>
    </row>
    <row r="3215" spans="4:5" x14ac:dyDescent="0.2">
      <c r="D3215" s="52"/>
      <c r="E3215" s="52"/>
    </row>
    <row r="3216" spans="4:5" x14ac:dyDescent="0.2">
      <c r="D3216" s="52"/>
      <c r="E3216" s="52"/>
    </row>
    <row r="3217" spans="4:5" x14ac:dyDescent="0.2">
      <c r="D3217" s="52"/>
      <c r="E3217" s="52"/>
    </row>
    <row r="3218" spans="4:5" x14ac:dyDescent="0.2">
      <c r="D3218" s="52"/>
      <c r="E3218" s="52"/>
    </row>
    <row r="3219" spans="4:5" x14ac:dyDescent="0.2">
      <c r="D3219" s="52"/>
      <c r="E3219" s="52"/>
    </row>
    <row r="3220" spans="4:5" x14ac:dyDescent="0.2">
      <c r="D3220" s="52"/>
      <c r="E3220" s="52"/>
    </row>
    <row r="3221" spans="4:5" x14ac:dyDescent="0.2">
      <c r="D3221" s="52"/>
      <c r="E3221" s="52"/>
    </row>
    <row r="3222" spans="4:5" x14ac:dyDescent="0.2">
      <c r="D3222" s="52"/>
      <c r="E3222" s="52"/>
    </row>
    <row r="3223" spans="4:5" x14ac:dyDescent="0.2">
      <c r="D3223" s="52"/>
      <c r="E3223" s="52"/>
    </row>
    <row r="3224" spans="4:5" x14ac:dyDescent="0.2">
      <c r="D3224" s="52"/>
      <c r="E3224" s="52"/>
    </row>
    <row r="3225" spans="4:5" x14ac:dyDescent="0.2">
      <c r="D3225" s="52"/>
      <c r="E3225" s="52"/>
    </row>
    <row r="3226" spans="4:5" x14ac:dyDescent="0.2">
      <c r="D3226" s="52"/>
      <c r="E3226" s="52"/>
    </row>
    <row r="3227" spans="4:5" x14ac:dyDescent="0.2">
      <c r="D3227" s="52"/>
      <c r="E3227" s="52"/>
    </row>
    <row r="3228" spans="4:5" x14ac:dyDescent="0.2">
      <c r="D3228" s="52"/>
      <c r="E3228" s="52"/>
    </row>
    <row r="3229" spans="4:5" x14ac:dyDescent="0.2">
      <c r="D3229" s="52"/>
      <c r="E3229" s="52"/>
    </row>
    <row r="3230" spans="4:5" x14ac:dyDescent="0.2">
      <c r="D3230" s="52"/>
      <c r="E3230" s="52"/>
    </row>
    <row r="3231" spans="4:5" x14ac:dyDescent="0.2">
      <c r="D3231" s="52"/>
      <c r="E3231" s="52"/>
    </row>
    <row r="3232" spans="4:5" x14ac:dyDescent="0.2">
      <c r="D3232" s="52"/>
      <c r="E3232" s="52"/>
    </row>
    <row r="3233" spans="4:5" x14ac:dyDescent="0.2">
      <c r="D3233" s="52"/>
      <c r="E3233" s="52"/>
    </row>
    <row r="3234" spans="4:5" x14ac:dyDescent="0.2">
      <c r="D3234" s="52"/>
      <c r="E3234" s="52"/>
    </row>
    <row r="3235" spans="4:5" x14ac:dyDescent="0.2">
      <c r="D3235" s="52"/>
      <c r="E3235" s="52"/>
    </row>
    <row r="3236" spans="4:5" x14ac:dyDescent="0.2">
      <c r="D3236" s="52"/>
      <c r="E3236" s="52"/>
    </row>
    <row r="3237" spans="4:5" x14ac:dyDescent="0.2">
      <c r="D3237" s="52"/>
      <c r="E3237" s="52"/>
    </row>
    <row r="3238" spans="4:5" x14ac:dyDescent="0.2">
      <c r="D3238" s="52"/>
      <c r="E3238" s="52"/>
    </row>
    <row r="3239" spans="4:5" x14ac:dyDescent="0.2">
      <c r="D3239" s="52"/>
      <c r="E3239" s="52"/>
    </row>
    <row r="3240" spans="4:5" x14ac:dyDescent="0.2">
      <c r="D3240" s="52"/>
      <c r="E3240" s="52"/>
    </row>
    <row r="3241" spans="4:5" x14ac:dyDescent="0.2">
      <c r="D3241" s="52"/>
      <c r="E3241" s="52"/>
    </row>
    <row r="3242" spans="4:5" x14ac:dyDescent="0.2">
      <c r="D3242" s="52"/>
      <c r="E3242" s="52"/>
    </row>
    <row r="3243" spans="4:5" x14ac:dyDescent="0.2">
      <c r="D3243" s="52"/>
      <c r="E3243" s="52"/>
    </row>
    <row r="3244" spans="4:5" x14ac:dyDescent="0.2">
      <c r="D3244" s="52"/>
      <c r="E3244" s="52"/>
    </row>
    <row r="3245" spans="4:5" x14ac:dyDescent="0.2">
      <c r="D3245" s="52"/>
      <c r="E3245" s="52"/>
    </row>
    <row r="3246" spans="4:5" x14ac:dyDescent="0.2">
      <c r="D3246" s="52"/>
      <c r="E3246" s="52"/>
    </row>
    <row r="3247" spans="4:5" x14ac:dyDescent="0.2">
      <c r="D3247" s="52"/>
      <c r="E3247" s="52"/>
    </row>
    <row r="3248" spans="4:5" x14ac:dyDescent="0.2">
      <c r="D3248" s="52"/>
      <c r="E3248" s="52"/>
    </row>
    <row r="3249" spans="4:5" x14ac:dyDescent="0.2">
      <c r="D3249" s="52"/>
      <c r="E3249" s="52"/>
    </row>
    <row r="3250" spans="4:5" x14ac:dyDescent="0.2">
      <c r="D3250" s="52"/>
      <c r="E3250" s="52"/>
    </row>
    <row r="3251" spans="4:5" x14ac:dyDescent="0.2">
      <c r="D3251" s="52"/>
      <c r="E3251" s="52"/>
    </row>
    <row r="3252" spans="4:5" x14ac:dyDescent="0.2">
      <c r="D3252" s="52"/>
      <c r="E3252" s="52"/>
    </row>
    <row r="3253" spans="4:5" x14ac:dyDescent="0.2">
      <c r="D3253" s="52"/>
      <c r="E3253" s="52"/>
    </row>
    <row r="3254" spans="4:5" x14ac:dyDescent="0.2">
      <c r="D3254" s="52"/>
      <c r="E3254" s="52"/>
    </row>
    <row r="3255" spans="4:5" x14ac:dyDescent="0.2">
      <c r="D3255" s="52"/>
      <c r="E3255" s="52"/>
    </row>
    <row r="3256" spans="4:5" x14ac:dyDescent="0.2">
      <c r="D3256" s="52"/>
      <c r="E3256" s="52"/>
    </row>
    <row r="3257" spans="4:5" x14ac:dyDescent="0.2">
      <c r="D3257" s="52"/>
      <c r="E3257" s="52"/>
    </row>
    <row r="3258" spans="4:5" x14ac:dyDescent="0.2">
      <c r="D3258" s="52"/>
      <c r="E3258" s="52"/>
    </row>
    <row r="3259" spans="4:5" x14ac:dyDescent="0.2">
      <c r="D3259" s="52"/>
      <c r="E3259" s="52"/>
    </row>
    <row r="3260" spans="4:5" x14ac:dyDescent="0.2">
      <c r="D3260" s="52"/>
      <c r="E3260" s="52"/>
    </row>
    <row r="3261" spans="4:5" x14ac:dyDescent="0.2">
      <c r="D3261" s="52"/>
      <c r="E3261" s="52"/>
    </row>
    <row r="3262" spans="4:5" x14ac:dyDescent="0.2">
      <c r="D3262" s="52"/>
      <c r="E3262" s="52"/>
    </row>
    <row r="3263" spans="4:5" x14ac:dyDescent="0.2">
      <c r="D3263" s="52"/>
      <c r="E3263" s="52"/>
    </row>
    <row r="3264" spans="4:5" x14ac:dyDescent="0.2">
      <c r="D3264" s="52"/>
      <c r="E3264" s="52"/>
    </row>
    <row r="3265" spans="4:5" x14ac:dyDescent="0.2">
      <c r="D3265" s="52"/>
      <c r="E3265" s="52"/>
    </row>
    <row r="3266" spans="4:5" x14ac:dyDescent="0.2">
      <c r="D3266" s="52"/>
      <c r="E3266" s="52"/>
    </row>
    <row r="3267" spans="4:5" x14ac:dyDescent="0.2">
      <c r="D3267" s="52"/>
      <c r="E3267" s="52"/>
    </row>
    <row r="3268" spans="4:5" x14ac:dyDescent="0.2">
      <c r="D3268" s="52"/>
      <c r="E3268" s="52"/>
    </row>
    <row r="3269" spans="4:5" x14ac:dyDescent="0.2">
      <c r="D3269" s="52"/>
      <c r="E3269" s="52"/>
    </row>
    <row r="3270" spans="4:5" x14ac:dyDescent="0.2">
      <c r="D3270" s="52"/>
      <c r="E3270" s="52"/>
    </row>
    <row r="3271" spans="4:5" x14ac:dyDescent="0.2">
      <c r="D3271" s="52"/>
      <c r="E3271" s="52"/>
    </row>
    <row r="3272" spans="4:5" x14ac:dyDescent="0.2">
      <c r="D3272" s="52"/>
      <c r="E3272" s="52"/>
    </row>
    <row r="3273" spans="4:5" x14ac:dyDescent="0.2">
      <c r="D3273" s="52"/>
      <c r="E3273" s="52"/>
    </row>
    <row r="3274" spans="4:5" x14ac:dyDescent="0.2">
      <c r="D3274" s="52"/>
      <c r="E3274" s="52"/>
    </row>
    <row r="3275" spans="4:5" x14ac:dyDescent="0.2">
      <c r="D3275" s="52"/>
      <c r="E3275" s="52"/>
    </row>
    <row r="3276" spans="4:5" x14ac:dyDescent="0.2">
      <c r="D3276" s="52"/>
      <c r="E3276" s="52"/>
    </row>
    <row r="3277" spans="4:5" x14ac:dyDescent="0.2">
      <c r="D3277" s="52"/>
      <c r="E3277" s="52"/>
    </row>
    <row r="3278" spans="4:5" x14ac:dyDescent="0.2">
      <c r="D3278" s="52"/>
      <c r="E3278" s="52"/>
    </row>
    <row r="3279" spans="4:5" x14ac:dyDescent="0.2">
      <c r="D3279" s="52"/>
      <c r="E3279" s="52"/>
    </row>
    <row r="3280" spans="4:5" x14ac:dyDescent="0.2">
      <c r="D3280" s="52"/>
      <c r="E3280" s="52"/>
    </row>
    <row r="3281" spans="4:5" x14ac:dyDescent="0.2">
      <c r="D3281" s="52"/>
      <c r="E3281" s="52"/>
    </row>
    <row r="3282" spans="4:5" x14ac:dyDescent="0.2">
      <c r="D3282" s="52"/>
      <c r="E3282" s="52"/>
    </row>
    <row r="3283" spans="4:5" x14ac:dyDescent="0.2">
      <c r="D3283" s="52"/>
      <c r="E3283" s="52"/>
    </row>
    <row r="3284" spans="4:5" x14ac:dyDescent="0.2">
      <c r="D3284" s="52"/>
      <c r="E3284" s="52"/>
    </row>
    <row r="3285" spans="4:5" x14ac:dyDescent="0.2">
      <c r="D3285" s="52"/>
      <c r="E3285" s="52"/>
    </row>
    <row r="3286" spans="4:5" x14ac:dyDescent="0.2">
      <c r="D3286" s="52"/>
      <c r="E3286" s="52"/>
    </row>
    <row r="3287" spans="4:5" x14ac:dyDescent="0.2">
      <c r="D3287" s="52"/>
      <c r="E3287" s="52"/>
    </row>
    <row r="3288" spans="4:5" x14ac:dyDescent="0.2">
      <c r="D3288" s="52"/>
      <c r="E3288" s="52"/>
    </row>
    <row r="3289" spans="4:5" x14ac:dyDescent="0.2">
      <c r="D3289" s="52"/>
      <c r="E3289" s="52"/>
    </row>
    <row r="3290" spans="4:5" x14ac:dyDescent="0.2">
      <c r="D3290" s="52"/>
      <c r="E3290" s="52"/>
    </row>
    <row r="3291" spans="4:5" x14ac:dyDescent="0.2">
      <c r="D3291" s="52"/>
      <c r="E3291" s="52"/>
    </row>
    <row r="3292" spans="4:5" x14ac:dyDescent="0.2">
      <c r="D3292" s="52"/>
      <c r="E3292" s="52"/>
    </row>
    <row r="3293" spans="4:5" x14ac:dyDescent="0.2">
      <c r="D3293" s="52"/>
      <c r="E3293" s="52"/>
    </row>
    <row r="3294" spans="4:5" x14ac:dyDescent="0.2">
      <c r="D3294" s="52"/>
      <c r="E3294" s="52"/>
    </row>
    <row r="3295" spans="4:5" x14ac:dyDescent="0.2">
      <c r="D3295" s="52"/>
      <c r="E3295" s="52"/>
    </row>
    <row r="3296" spans="4:5" x14ac:dyDescent="0.2">
      <c r="D3296" s="52"/>
      <c r="E3296" s="52"/>
    </row>
    <row r="3297" spans="4:5" x14ac:dyDescent="0.2">
      <c r="D3297" s="52"/>
      <c r="E3297" s="52"/>
    </row>
    <row r="3298" spans="4:5" x14ac:dyDescent="0.2">
      <c r="D3298" s="52"/>
      <c r="E3298" s="52"/>
    </row>
    <row r="3299" spans="4:5" x14ac:dyDescent="0.2">
      <c r="D3299" s="52"/>
      <c r="E3299" s="52"/>
    </row>
    <row r="3300" spans="4:5" x14ac:dyDescent="0.2">
      <c r="D3300" s="52"/>
      <c r="E3300" s="52"/>
    </row>
    <row r="3301" spans="4:5" x14ac:dyDescent="0.2">
      <c r="D3301" s="52"/>
      <c r="E3301" s="52"/>
    </row>
    <row r="3302" spans="4:5" x14ac:dyDescent="0.2">
      <c r="D3302" s="52"/>
      <c r="E3302" s="52"/>
    </row>
    <row r="3303" spans="4:5" x14ac:dyDescent="0.2">
      <c r="D3303" s="52"/>
      <c r="E3303" s="52"/>
    </row>
    <row r="3304" spans="4:5" x14ac:dyDescent="0.2">
      <c r="D3304" s="52"/>
      <c r="E3304" s="52"/>
    </row>
    <row r="3305" spans="4:5" x14ac:dyDescent="0.2">
      <c r="D3305" s="52"/>
      <c r="E3305" s="52"/>
    </row>
    <row r="3306" spans="4:5" x14ac:dyDescent="0.2">
      <c r="D3306" s="52"/>
      <c r="E3306" s="52"/>
    </row>
    <row r="3307" spans="4:5" x14ac:dyDescent="0.2">
      <c r="D3307" s="52"/>
      <c r="E3307" s="52"/>
    </row>
    <row r="3308" spans="4:5" x14ac:dyDescent="0.2">
      <c r="D3308" s="52"/>
      <c r="E3308" s="52"/>
    </row>
    <row r="3309" spans="4:5" x14ac:dyDescent="0.2">
      <c r="D3309" s="52"/>
      <c r="E3309" s="52"/>
    </row>
    <row r="3310" spans="4:5" x14ac:dyDescent="0.2">
      <c r="D3310" s="52"/>
      <c r="E3310" s="52"/>
    </row>
    <row r="3311" spans="4:5" x14ac:dyDescent="0.2">
      <c r="D3311" s="52"/>
      <c r="E3311" s="52"/>
    </row>
    <row r="3312" spans="4:5" x14ac:dyDescent="0.2">
      <c r="D3312" s="52"/>
      <c r="E3312" s="52"/>
    </row>
    <row r="3313" spans="4:5" x14ac:dyDescent="0.2">
      <c r="D3313" s="52"/>
      <c r="E3313" s="52"/>
    </row>
    <row r="3314" spans="4:5" x14ac:dyDescent="0.2">
      <c r="D3314" s="52"/>
      <c r="E3314" s="52"/>
    </row>
    <row r="3315" spans="4:5" x14ac:dyDescent="0.2">
      <c r="D3315" s="52"/>
      <c r="E3315" s="52"/>
    </row>
    <row r="3316" spans="4:5" x14ac:dyDescent="0.2">
      <c r="D3316" s="52"/>
      <c r="E3316" s="52"/>
    </row>
    <row r="3317" spans="4:5" x14ac:dyDescent="0.2">
      <c r="D3317" s="52"/>
      <c r="E3317" s="52"/>
    </row>
    <row r="3318" spans="4:5" x14ac:dyDescent="0.2">
      <c r="D3318" s="52"/>
      <c r="E3318" s="52"/>
    </row>
    <row r="3319" spans="4:5" x14ac:dyDescent="0.2">
      <c r="D3319" s="52"/>
      <c r="E3319" s="52"/>
    </row>
    <row r="3320" spans="4:5" x14ac:dyDescent="0.2">
      <c r="D3320" s="52"/>
      <c r="E3320" s="52"/>
    </row>
    <row r="3321" spans="4:5" x14ac:dyDescent="0.2">
      <c r="D3321" s="52"/>
      <c r="E3321" s="52"/>
    </row>
    <row r="3322" spans="4:5" x14ac:dyDescent="0.2">
      <c r="D3322" s="52"/>
      <c r="E3322" s="52"/>
    </row>
    <row r="3323" spans="4:5" x14ac:dyDescent="0.2">
      <c r="D3323" s="52"/>
      <c r="E3323" s="52"/>
    </row>
    <row r="3324" spans="4:5" x14ac:dyDescent="0.2">
      <c r="D3324" s="52"/>
      <c r="E3324" s="52"/>
    </row>
    <row r="3325" spans="4:5" x14ac:dyDescent="0.2">
      <c r="D3325" s="52"/>
      <c r="E3325" s="52"/>
    </row>
    <row r="3326" spans="4:5" x14ac:dyDescent="0.2">
      <c r="D3326" s="52"/>
      <c r="E3326" s="52"/>
    </row>
    <row r="3327" spans="4:5" x14ac:dyDescent="0.2">
      <c r="D3327" s="52"/>
      <c r="E3327" s="52"/>
    </row>
    <row r="3328" spans="4:5" x14ac:dyDescent="0.2">
      <c r="D3328" s="52"/>
      <c r="E3328" s="52"/>
    </row>
    <row r="3329" spans="4:5" x14ac:dyDescent="0.2">
      <c r="D3329" s="52"/>
      <c r="E3329" s="52"/>
    </row>
    <row r="3330" spans="4:5" x14ac:dyDescent="0.2">
      <c r="D3330" s="52"/>
      <c r="E3330" s="52"/>
    </row>
    <row r="3331" spans="4:5" x14ac:dyDescent="0.2">
      <c r="D3331" s="52"/>
      <c r="E3331" s="52"/>
    </row>
    <row r="3332" spans="4:5" x14ac:dyDescent="0.2">
      <c r="D3332" s="52"/>
      <c r="E3332" s="52"/>
    </row>
    <row r="3333" spans="4:5" x14ac:dyDescent="0.2">
      <c r="D3333" s="52"/>
      <c r="E3333" s="52"/>
    </row>
    <row r="3334" spans="4:5" x14ac:dyDescent="0.2">
      <c r="D3334" s="52"/>
      <c r="E3334" s="52"/>
    </row>
    <row r="3335" spans="4:5" x14ac:dyDescent="0.2">
      <c r="D3335" s="52"/>
      <c r="E3335" s="52"/>
    </row>
    <row r="3336" spans="4:5" x14ac:dyDescent="0.2">
      <c r="D3336" s="52"/>
      <c r="E3336" s="52"/>
    </row>
    <row r="3337" spans="4:5" x14ac:dyDescent="0.2">
      <c r="D3337" s="52"/>
      <c r="E3337" s="52"/>
    </row>
    <row r="3338" spans="4:5" x14ac:dyDescent="0.2">
      <c r="D3338" s="52"/>
      <c r="E3338" s="52"/>
    </row>
    <row r="3339" spans="4:5" x14ac:dyDescent="0.2">
      <c r="D3339" s="52"/>
      <c r="E3339" s="52"/>
    </row>
    <row r="3340" spans="4:5" x14ac:dyDescent="0.2">
      <c r="D3340" s="52"/>
      <c r="E3340" s="52"/>
    </row>
    <row r="3341" spans="4:5" x14ac:dyDescent="0.2">
      <c r="D3341" s="52"/>
      <c r="E3341" s="52"/>
    </row>
    <row r="3342" spans="4:5" x14ac:dyDescent="0.2">
      <c r="D3342" s="52"/>
      <c r="E3342" s="52"/>
    </row>
    <row r="3343" spans="4:5" x14ac:dyDescent="0.2">
      <c r="D3343" s="52"/>
      <c r="E3343" s="52"/>
    </row>
    <row r="3344" spans="4:5" x14ac:dyDescent="0.2">
      <c r="D3344" s="52"/>
      <c r="E3344" s="52"/>
    </row>
    <row r="3345" spans="4:5" x14ac:dyDescent="0.2">
      <c r="D3345" s="52"/>
      <c r="E3345" s="52"/>
    </row>
    <row r="3346" spans="4:5" x14ac:dyDescent="0.2">
      <c r="D3346" s="52"/>
      <c r="E3346" s="52"/>
    </row>
    <row r="3347" spans="4:5" x14ac:dyDescent="0.2">
      <c r="D3347" s="52"/>
      <c r="E3347" s="52"/>
    </row>
    <row r="3348" spans="4:5" x14ac:dyDescent="0.2">
      <c r="D3348" s="52"/>
      <c r="E3348" s="52"/>
    </row>
    <row r="3349" spans="4:5" x14ac:dyDescent="0.2">
      <c r="D3349" s="52"/>
      <c r="E3349" s="52"/>
    </row>
    <row r="3350" spans="4:5" x14ac:dyDescent="0.2">
      <c r="D3350" s="52"/>
      <c r="E3350" s="52"/>
    </row>
    <row r="3351" spans="4:5" x14ac:dyDescent="0.2">
      <c r="D3351" s="52"/>
      <c r="E3351" s="52"/>
    </row>
    <row r="3352" spans="4:5" x14ac:dyDescent="0.2">
      <c r="D3352" s="52"/>
      <c r="E3352" s="52"/>
    </row>
    <row r="3353" spans="4:5" x14ac:dyDescent="0.2">
      <c r="D3353" s="52"/>
      <c r="E3353" s="52"/>
    </row>
    <row r="3354" spans="4:5" x14ac:dyDescent="0.2">
      <c r="D3354" s="52"/>
      <c r="E3354" s="52"/>
    </row>
    <row r="3355" spans="4:5" x14ac:dyDescent="0.2">
      <c r="D3355" s="52"/>
      <c r="E3355" s="52"/>
    </row>
    <row r="3356" spans="4:5" x14ac:dyDescent="0.2">
      <c r="D3356" s="52"/>
      <c r="E3356" s="52"/>
    </row>
    <row r="3357" spans="4:5" x14ac:dyDescent="0.2">
      <c r="D3357" s="52"/>
      <c r="E3357" s="52"/>
    </row>
    <row r="3358" spans="4:5" x14ac:dyDescent="0.2">
      <c r="D3358" s="52"/>
      <c r="E3358" s="52"/>
    </row>
    <row r="3359" spans="4:5" x14ac:dyDescent="0.2">
      <c r="D3359" s="52"/>
      <c r="E3359" s="52"/>
    </row>
    <row r="3360" spans="4:5" x14ac:dyDescent="0.2">
      <c r="D3360" s="52"/>
      <c r="E3360" s="52"/>
    </row>
    <row r="3361" spans="4:5" x14ac:dyDescent="0.2">
      <c r="D3361" s="52"/>
      <c r="E3361" s="52"/>
    </row>
    <row r="3362" spans="4:5" x14ac:dyDescent="0.2">
      <c r="D3362" s="52"/>
      <c r="E3362" s="52"/>
    </row>
    <row r="3363" spans="4:5" x14ac:dyDescent="0.2">
      <c r="D3363" s="52"/>
      <c r="E3363" s="52"/>
    </row>
    <row r="3364" spans="4:5" x14ac:dyDescent="0.2">
      <c r="D3364" s="52"/>
      <c r="E3364" s="52"/>
    </row>
    <row r="3365" spans="4:5" x14ac:dyDescent="0.2">
      <c r="D3365" s="52"/>
      <c r="E3365" s="52"/>
    </row>
    <row r="3366" spans="4:5" x14ac:dyDescent="0.2">
      <c r="D3366" s="52"/>
      <c r="E3366" s="52"/>
    </row>
    <row r="3367" spans="4:5" x14ac:dyDescent="0.2">
      <c r="D3367" s="52"/>
      <c r="E3367" s="52"/>
    </row>
    <row r="3368" spans="4:5" x14ac:dyDescent="0.2">
      <c r="D3368" s="52"/>
      <c r="E3368" s="52"/>
    </row>
    <row r="3369" spans="4:5" x14ac:dyDescent="0.2">
      <c r="D3369" s="52"/>
      <c r="E3369" s="52"/>
    </row>
    <row r="3370" spans="4:5" x14ac:dyDescent="0.2">
      <c r="D3370" s="52"/>
      <c r="E3370" s="52"/>
    </row>
    <row r="3371" spans="4:5" x14ac:dyDescent="0.2">
      <c r="D3371" s="52"/>
      <c r="E3371" s="52"/>
    </row>
    <row r="3372" spans="4:5" x14ac:dyDescent="0.2">
      <c r="D3372" s="52"/>
      <c r="E3372" s="52"/>
    </row>
    <row r="3373" spans="4:5" x14ac:dyDescent="0.2">
      <c r="D3373" s="52"/>
      <c r="E3373" s="52"/>
    </row>
    <row r="3374" spans="4:5" x14ac:dyDescent="0.2">
      <c r="D3374" s="52"/>
      <c r="E3374" s="52"/>
    </row>
    <row r="3375" spans="4:5" x14ac:dyDescent="0.2">
      <c r="D3375" s="52"/>
      <c r="E3375" s="52"/>
    </row>
    <row r="3376" spans="4:5" x14ac:dyDescent="0.2">
      <c r="D3376" s="52"/>
      <c r="E3376" s="52"/>
    </row>
    <row r="3377" spans="4:5" x14ac:dyDescent="0.2">
      <c r="D3377" s="52"/>
      <c r="E3377" s="52"/>
    </row>
    <row r="3378" spans="4:5" x14ac:dyDescent="0.2">
      <c r="D3378" s="52"/>
      <c r="E3378" s="52"/>
    </row>
    <row r="3379" spans="4:5" x14ac:dyDescent="0.2">
      <c r="D3379" s="52"/>
      <c r="E3379" s="52"/>
    </row>
    <row r="3380" spans="4:5" x14ac:dyDescent="0.2">
      <c r="D3380" s="52"/>
      <c r="E3380" s="52"/>
    </row>
    <row r="3381" spans="4:5" x14ac:dyDescent="0.2">
      <c r="D3381" s="52"/>
      <c r="E3381" s="52"/>
    </row>
    <row r="3382" spans="4:5" x14ac:dyDescent="0.2">
      <c r="D3382" s="52"/>
      <c r="E3382" s="52"/>
    </row>
    <row r="3383" spans="4:5" x14ac:dyDescent="0.2">
      <c r="D3383" s="52"/>
      <c r="E3383" s="52"/>
    </row>
    <row r="3384" spans="4:5" x14ac:dyDescent="0.2">
      <c r="D3384" s="52"/>
      <c r="E3384" s="52"/>
    </row>
    <row r="3385" spans="4:5" x14ac:dyDescent="0.2">
      <c r="D3385" s="52"/>
      <c r="E3385" s="52"/>
    </row>
    <row r="3386" spans="4:5" x14ac:dyDescent="0.2">
      <c r="D3386" s="52"/>
      <c r="E3386" s="52"/>
    </row>
    <row r="3387" spans="4:5" x14ac:dyDescent="0.2">
      <c r="D3387" s="52"/>
      <c r="E3387" s="52"/>
    </row>
    <row r="3388" spans="4:5" x14ac:dyDescent="0.2">
      <c r="D3388" s="52"/>
      <c r="E3388" s="52"/>
    </row>
    <row r="3389" spans="4:5" x14ac:dyDescent="0.2">
      <c r="D3389" s="52"/>
      <c r="E3389" s="52"/>
    </row>
    <row r="3390" spans="4:5" x14ac:dyDescent="0.2">
      <c r="D3390" s="52"/>
      <c r="E3390" s="52"/>
    </row>
    <row r="3391" spans="4:5" x14ac:dyDescent="0.2">
      <c r="D3391" s="52"/>
      <c r="E3391" s="52"/>
    </row>
    <row r="3392" spans="4:5" x14ac:dyDescent="0.2">
      <c r="D3392" s="52"/>
      <c r="E3392" s="52"/>
    </row>
    <row r="3393" spans="4:5" x14ac:dyDescent="0.2">
      <c r="D3393" s="52"/>
      <c r="E3393" s="52"/>
    </row>
    <row r="3394" spans="4:5" x14ac:dyDescent="0.2">
      <c r="D3394" s="52"/>
      <c r="E3394" s="52"/>
    </row>
    <row r="3395" spans="4:5" x14ac:dyDescent="0.2">
      <c r="D3395" s="52"/>
      <c r="E3395" s="52"/>
    </row>
    <row r="3396" spans="4:5" x14ac:dyDescent="0.2">
      <c r="D3396" s="52"/>
      <c r="E3396" s="52"/>
    </row>
    <row r="3397" spans="4:5" x14ac:dyDescent="0.2">
      <c r="D3397" s="52"/>
      <c r="E3397" s="52"/>
    </row>
    <row r="3398" spans="4:5" x14ac:dyDescent="0.2">
      <c r="D3398" s="52"/>
      <c r="E3398" s="52"/>
    </row>
    <row r="3399" spans="4:5" x14ac:dyDescent="0.2">
      <c r="D3399" s="52"/>
      <c r="E3399" s="52"/>
    </row>
    <row r="3400" spans="4:5" x14ac:dyDescent="0.2">
      <c r="D3400" s="52"/>
      <c r="E3400" s="52"/>
    </row>
    <row r="3401" spans="4:5" x14ac:dyDescent="0.2">
      <c r="D3401" s="52"/>
      <c r="E3401" s="52"/>
    </row>
    <row r="3402" spans="4:5" x14ac:dyDescent="0.2">
      <c r="D3402" s="52"/>
      <c r="E3402" s="52"/>
    </row>
    <row r="3403" spans="4:5" x14ac:dyDescent="0.2">
      <c r="D3403" s="52"/>
      <c r="E3403" s="52"/>
    </row>
    <row r="3404" spans="4:5" x14ac:dyDescent="0.2">
      <c r="D3404" s="52"/>
      <c r="E3404" s="52"/>
    </row>
    <row r="3405" spans="4:5" x14ac:dyDescent="0.2">
      <c r="D3405" s="52"/>
      <c r="E3405" s="52"/>
    </row>
    <row r="3406" spans="4:5" x14ac:dyDescent="0.2">
      <c r="D3406" s="52"/>
      <c r="E3406" s="52"/>
    </row>
    <row r="3407" spans="4:5" x14ac:dyDescent="0.2">
      <c r="D3407" s="52"/>
      <c r="E3407" s="52"/>
    </row>
    <row r="3408" spans="4:5" x14ac:dyDescent="0.2">
      <c r="D3408" s="52"/>
      <c r="E3408" s="52"/>
    </row>
    <row r="3409" spans="4:5" x14ac:dyDescent="0.2">
      <c r="D3409" s="52"/>
      <c r="E3409" s="52"/>
    </row>
    <row r="3410" spans="4:5" x14ac:dyDescent="0.2">
      <c r="D3410" s="52"/>
      <c r="E3410" s="52"/>
    </row>
    <row r="3411" spans="4:5" x14ac:dyDescent="0.2">
      <c r="D3411" s="52"/>
      <c r="E3411" s="52"/>
    </row>
    <row r="3412" spans="4:5" x14ac:dyDescent="0.2">
      <c r="D3412" s="52"/>
      <c r="E3412" s="52"/>
    </row>
    <row r="3413" spans="4:5" x14ac:dyDescent="0.2">
      <c r="D3413" s="52"/>
      <c r="E3413" s="52"/>
    </row>
    <row r="3414" spans="4:5" x14ac:dyDescent="0.2">
      <c r="D3414" s="52"/>
      <c r="E3414" s="52"/>
    </row>
    <row r="3415" spans="4:5" x14ac:dyDescent="0.2">
      <c r="D3415" s="52"/>
      <c r="E3415" s="52"/>
    </row>
    <row r="3416" spans="4:5" x14ac:dyDescent="0.2">
      <c r="D3416" s="52"/>
      <c r="E3416" s="52"/>
    </row>
    <row r="3417" spans="4:5" x14ac:dyDescent="0.2">
      <c r="D3417" s="52"/>
      <c r="E3417" s="52"/>
    </row>
    <row r="3418" spans="4:5" x14ac:dyDescent="0.2">
      <c r="D3418" s="52"/>
      <c r="E3418" s="52"/>
    </row>
    <row r="3419" spans="4:5" x14ac:dyDescent="0.2">
      <c r="D3419" s="52"/>
      <c r="E3419" s="52"/>
    </row>
    <row r="3420" spans="4:5" x14ac:dyDescent="0.2">
      <c r="D3420" s="52"/>
      <c r="E3420" s="52"/>
    </row>
    <row r="3421" spans="4:5" x14ac:dyDescent="0.2">
      <c r="D3421" s="52"/>
      <c r="E3421" s="52"/>
    </row>
    <row r="3422" spans="4:5" x14ac:dyDescent="0.2">
      <c r="D3422" s="52"/>
      <c r="E3422" s="52"/>
    </row>
    <row r="3423" spans="4:5" x14ac:dyDescent="0.2">
      <c r="D3423" s="52"/>
      <c r="E3423" s="52"/>
    </row>
    <row r="3424" spans="4:5" x14ac:dyDescent="0.2">
      <c r="D3424" s="52"/>
      <c r="E3424" s="52"/>
    </row>
    <row r="3425" spans="4:5" x14ac:dyDescent="0.2">
      <c r="D3425" s="52"/>
      <c r="E3425" s="52"/>
    </row>
    <row r="3426" spans="4:5" x14ac:dyDescent="0.2">
      <c r="D3426" s="52"/>
      <c r="E3426" s="52"/>
    </row>
    <row r="3427" spans="4:5" x14ac:dyDescent="0.2">
      <c r="D3427" s="52"/>
      <c r="E3427" s="52"/>
    </row>
    <row r="3428" spans="4:5" x14ac:dyDescent="0.2">
      <c r="D3428" s="52"/>
      <c r="E3428" s="52"/>
    </row>
    <row r="3429" spans="4:5" x14ac:dyDescent="0.2">
      <c r="D3429" s="52"/>
      <c r="E3429" s="52"/>
    </row>
    <row r="3430" spans="4:5" x14ac:dyDescent="0.2">
      <c r="D3430" s="52"/>
      <c r="E3430" s="52"/>
    </row>
    <row r="3431" spans="4:5" x14ac:dyDescent="0.2">
      <c r="D3431" s="52"/>
      <c r="E3431" s="52"/>
    </row>
    <row r="3432" spans="4:5" x14ac:dyDescent="0.2">
      <c r="D3432" s="52"/>
      <c r="E3432" s="52"/>
    </row>
    <row r="3433" spans="4:5" x14ac:dyDescent="0.2">
      <c r="D3433" s="52"/>
      <c r="E3433" s="52"/>
    </row>
    <row r="3434" spans="4:5" x14ac:dyDescent="0.2">
      <c r="D3434" s="52"/>
      <c r="E3434" s="52"/>
    </row>
    <row r="3435" spans="4:5" x14ac:dyDescent="0.2">
      <c r="D3435" s="52"/>
      <c r="E3435" s="52"/>
    </row>
    <row r="3436" spans="4:5" x14ac:dyDescent="0.2">
      <c r="D3436" s="52"/>
      <c r="E3436" s="52"/>
    </row>
    <row r="3437" spans="4:5" x14ac:dyDescent="0.2">
      <c r="D3437" s="52"/>
      <c r="E3437" s="52"/>
    </row>
    <row r="3438" spans="4:5" x14ac:dyDescent="0.2">
      <c r="D3438" s="52"/>
      <c r="E3438" s="52"/>
    </row>
    <row r="3439" spans="4:5" x14ac:dyDescent="0.2">
      <c r="D3439" s="52"/>
      <c r="E3439" s="52"/>
    </row>
    <row r="3440" spans="4:5" x14ac:dyDescent="0.2">
      <c r="D3440" s="52"/>
      <c r="E3440" s="52"/>
    </row>
    <row r="3441" spans="4:5" x14ac:dyDescent="0.2">
      <c r="D3441" s="52"/>
      <c r="E3441" s="52"/>
    </row>
    <row r="3442" spans="4:5" x14ac:dyDescent="0.2">
      <c r="D3442" s="52"/>
      <c r="E3442" s="52"/>
    </row>
    <row r="3443" spans="4:5" x14ac:dyDescent="0.2">
      <c r="D3443" s="52"/>
      <c r="E3443" s="52"/>
    </row>
    <row r="3444" spans="4:5" x14ac:dyDescent="0.2">
      <c r="D3444" s="52"/>
      <c r="E3444" s="52"/>
    </row>
    <row r="3445" spans="4:5" x14ac:dyDescent="0.2">
      <c r="D3445" s="52"/>
      <c r="E3445" s="52"/>
    </row>
    <row r="3446" spans="4:5" x14ac:dyDescent="0.2">
      <c r="D3446" s="52"/>
      <c r="E3446" s="52"/>
    </row>
    <row r="3447" spans="4:5" x14ac:dyDescent="0.2">
      <c r="D3447" s="52"/>
      <c r="E3447" s="52"/>
    </row>
    <row r="3448" spans="4:5" x14ac:dyDescent="0.2">
      <c r="D3448" s="52"/>
      <c r="E3448" s="52"/>
    </row>
    <row r="3449" spans="4:5" x14ac:dyDescent="0.2">
      <c r="D3449" s="52"/>
      <c r="E3449" s="52"/>
    </row>
    <row r="3450" spans="4:5" x14ac:dyDescent="0.2">
      <c r="D3450" s="52"/>
      <c r="E3450" s="52"/>
    </row>
    <row r="3451" spans="4:5" x14ac:dyDescent="0.2">
      <c r="D3451" s="52"/>
      <c r="E3451" s="52"/>
    </row>
    <row r="3452" spans="4:5" x14ac:dyDescent="0.2">
      <c r="D3452" s="52"/>
      <c r="E3452" s="52"/>
    </row>
    <row r="3453" spans="4:5" x14ac:dyDescent="0.2">
      <c r="D3453" s="52"/>
      <c r="E3453" s="52"/>
    </row>
    <row r="3454" spans="4:5" x14ac:dyDescent="0.2">
      <c r="D3454" s="52"/>
      <c r="E3454" s="52"/>
    </row>
    <row r="3455" spans="4:5" x14ac:dyDescent="0.2">
      <c r="D3455" s="52"/>
      <c r="E3455" s="52"/>
    </row>
    <row r="3456" spans="4:5" x14ac:dyDescent="0.2">
      <c r="D3456" s="52"/>
      <c r="E3456" s="52"/>
    </row>
    <row r="3457" spans="4:5" x14ac:dyDescent="0.2">
      <c r="D3457" s="52"/>
      <c r="E3457" s="52"/>
    </row>
    <row r="3458" spans="4:5" x14ac:dyDescent="0.2">
      <c r="D3458" s="52"/>
      <c r="E3458" s="52"/>
    </row>
    <row r="3459" spans="4:5" x14ac:dyDescent="0.2">
      <c r="D3459" s="52"/>
      <c r="E3459" s="52"/>
    </row>
    <row r="3460" spans="4:5" x14ac:dyDescent="0.2">
      <c r="D3460" s="52"/>
      <c r="E3460" s="52"/>
    </row>
    <row r="3461" spans="4:5" x14ac:dyDescent="0.2">
      <c r="D3461" s="52"/>
      <c r="E3461" s="52"/>
    </row>
    <row r="3462" spans="4:5" x14ac:dyDescent="0.2">
      <c r="D3462" s="52"/>
      <c r="E3462" s="52"/>
    </row>
    <row r="3463" spans="4:5" x14ac:dyDescent="0.2">
      <c r="D3463" s="52"/>
      <c r="E3463" s="52"/>
    </row>
    <row r="3464" spans="4:5" x14ac:dyDescent="0.2">
      <c r="D3464" s="52"/>
      <c r="E3464" s="52"/>
    </row>
    <row r="3465" spans="4:5" x14ac:dyDescent="0.2">
      <c r="D3465" s="52"/>
      <c r="E3465" s="52"/>
    </row>
    <row r="3466" spans="4:5" x14ac:dyDescent="0.2">
      <c r="D3466" s="52"/>
      <c r="E3466" s="52"/>
    </row>
    <row r="3467" spans="4:5" x14ac:dyDescent="0.2">
      <c r="D3467" s="52"/>
      <c r="E3467" s="52"/>
    </row>
    <row r="3468" spans="4:5" x14ac:dyDescent="0.2">
      <c r="D3468" s="52"/>
      <c r="E3468" s="52"/>
    </row>
    <row r="3469" spans="4:5" x14ac:dyDescent="0.2">
      <c r="D3469" s="52"/>
      <c r="E3469" s="52"/>
    </row>
    <row r="3470" spans="4:5" x14ac:dyDescent="0.2">
      <c r="D3470" s="52"/>
      <c r="E3470" s="52"/>
    </row>
    <row r="3471" spans="4:5" x14ac:dyDescent="0.2">
      <c r="D3471" s="52"/>
      <c r="E3471" s="52"/>
    </row>
    <row r="3472" spans="4:5" x14ac:dyDescent="0.2">
      <c r="D3472" s="52"/>
      <c r="E3472" s="52"/>
    </row>
    <row r="3473" spans="4:5" x14ac:dyDescent="0.2">
      <c r="D3473" s="52"/>
      <c r="E3473" s="52"/>
    </row>
    <row r="3474" spans="4:5" x14ac:dyDescent="0.2">
      <c r="D3474" s="52"/>
      <c r="E3474" s="52"/>
    </row>
    <row r="3475" spans="4:5" x14ac:dyDescent="0.2">
      <c r="D3475" s="52"/>
      <c r="E3475" s="52"/>
    </row>
    <row r="3476" spans="4:5" x14ac:dyDescent="0.2">
      <c r="D3476" s="52"/>
      <c r="E3476" s="52"/>
    </row>
    <row r="3477" spans="4:5" x14ac:dyDescent="0.2">
      <c r="D3477" s="52"/>
      <c r="E3477" s="52"/>
    </row>
    <row r="3478" spans="4:5" x14ac:dyDescent="0.2">
      <c r="D3478" s="52"/>
      <c r="E3478" s="52"/>
    </row>
    <row r="3479" spans="4:5" x14ac:dyDescent="0.2">
      <c r="D3479" s="52"/>
      <c r="E3479" s="52"/>
    </row>
    <row r="3480" spans="4:5" x14ac:dyDescent="0.2">
      <c r="D3480" s="52"/>
      <c r="E3480" s="52"/>
    </row>
    <row r="3481" spans="4:5" x14ac:dyDescent="0.2">
      <c r="D3481" s="52"/>
      <c r="E3481" s="52"/>
    </row>
    <row r="3482" spans="4:5" x14ac:dyDescent="0.2">
      <c r="D3482" s="52"/>
      <c r="E3482" s="52"/>
    </row>
    <row r="3483" spans="4:5" x14ac:dyDescent="0.2">
      <c r="D3483" s="52"/>
      <c r="E3483" s="52"/>
    </row>
    <row r="3484" spans="4:5" x14ac:dyDescent="0.2">
      <c r="D3484" s="52"/>
      <c r="E3484" s="52"/>
    </row>
    <row r="3485" spans="4:5" x14ac:dyDescent="0.2">
      <c r="D3485" s="52"/>
      <c r="E3485" s="52"/>
    </row>
    <row r="3486" spans="4:5" x14ac:dyDescent="0.2">
      <c r="D3486" s="52"/>
      <c r="E3486" s="52"/>
    </row>
    <row r="3487" spans="4:5" x14ac:dyDescent="0.2">
      <c r="D3487" s="52"/>
      <c r="E3487" s="52"/>
    </row>
    <row r="3488" spans="4:5" x14ac:dyDescent="0.2">
      <c r="D3488" s="52"/>
      <c r="E3488" s="52"/>
    </row>
    <row r="3489" spans="4:5" x14ac:dyDescent="0.2">
      <c r="D3489" s="52"/>
      <c r="E3489" s="52"/>
    </row>
    <row r="3490" spans="4:5" x14ac:dyDescent="0.2">
      <c r="D3490" s="52"/>
      <c r="E3490" s="52"/>
    </row>
    <row r="3491" spans="4:5" x14ac:dyDescent="0.2">
      <c r="D3491" s="52"/>
      <c r="E3491" s="52"/>
    </row>
    <row r="3492" spans="4:5" x14ac:dyDescent="0.2">
      <c r="D3492" s="52"/>
      <c r="E3492" s="52"/>
    </row>
    <row r="3493" spans="4:5" x14ac:dyDescent="0.2">
      <c r="D3493" s="52"/>
      <c r="E3493" s="52"/>
    </row>
    <row r="3494" spans="4:5" x14ac:dyDescent="0.2">
      <c r="D3494" s="52"/>
      <c r="E3494" s="52"/>
    </row>
    <row r="3495" spans="4:5" x14ac:dyDescent="0.2">
      <c r="D3495" s="52"/>
      <c r="E3495" s="52"/>
    </row>
    <row r="3496" spans="4:5" x14ac:dyDescent="0.2">
      <c r="D3496" s="52"/>
      <c r="E3496" s="52"/>
    </row>
    <row r="3497" spans="4:5" x14ac:dyDescent="0.2">
      <c r="D3497" s="52"/>
      <c r="E3497" s="52"/>
    </row>
    <row r="3498" spans="4:5" x14ac:dyDescent="0.2">
      <c r="D3498" s="52"/>
      <c r="E3498" s="52"/>
    </row>
    <row r="3499" spans="4:5" x14ac:dyDescent="0.2">
      <c r="D3499" s="52"/>
      <c r="E3499" s="52"/>
    </row>
    <row r="3500" spans="4:5" x14ac:dyDescent="0.2">
      <c r="D3500" s="52"/>
      <c r="E3500" s="52"/>
    </row>
    <row r="3501" spans="4:5" x14ac:dyDescent="0.2">
      <c r="D3501" s="52"/>
      <c r="E3501" s="52"/>
    </row>
    <row r="3502" spans="4:5" x14ac:dyDescent="0.2">
      <c r="D3502" s="52"/>
      <c r="E3502" s="52"/>
    </row>
    <row r="3503" spans="4:5" x14ac:dyDescent="0.2">
      <c r="D3503" s="52"/>
      <c r="E3503" s="52"/>
    </row>
    <row r="3504" spans="4:5" x14ac:dyDescent="0.2">
      <c r="D3504" s="52"/>
      <c r="E3504" s="52"/>
    </row>
    <row r="3505" spans="4:5" x14ac:dyDescent="0.2">
      <c r="D3505" s="52"/>
      <c r="E3505" s="52"/>
    </row>
    <row r="3506" spans="4:5" x14ac:dyDescent="0.2">
      <c r="D3506" s="52"/>
      <c r="E3506" s="52"/>
    </row>
    <row r="3507" spans="4:5" x14ac:dyDescent="0.2">
      <c r="D3507" s="52"/>
      <c r="E3507" s="52"/>
    </row>
    <row r="3508" spans="4:5" x14ac:dyDescent="0.2">
      <c r="D3508" s="52"/>
      <c r="E3508" s="52"/>
    </row>
    <row r="3509" spans="4:5" x14ac:dyDescent="0.2">
      <c r="D3509" s="52"/>
      <c r="E3509" s="52"/>
    </row>
    <row r="3510" spans="4:5" x14ac:dyDescent="0.2">
      <c r="D3510" s="52"/>
      <c r="E3510" s="52"/>
    </row>
    <row r="3511" spans="4:5" x14ac:dyDescent="0.2">
      <c r="D3511" s="52"/>
      <c r="E3511" s="52"/>
    </row>
    <row r="3512" spans="4:5" x14ac:dyDescent="0.2">
      <c r="D3512" s="52"/>
      <c r="E3512" s="52"/>
    </row>
    <row r="3513" spans="4:5" x14ac:dyDescent="0.2">
      <c r="D3513" s="52"/>
      <c r="E3513" s="52"/>
    </row>
    <row r="3514" spans="4:5" x14ac:dyDescent="0.2">
      <c r="D3514" s="52"/>
      <c r="E3514" s="52"/>
    </row>
    <row r="3515" spans="4:5" x14ac:dyDescent="0.2">
      <c r="D3515" s="52"/>
      <c r="E3515" s="52"/>
    </row>
    <row r="3516" spans="4:5" x14ac:dyDescent="0.2">
      <c r="D3516" s="52"/>
      <c r="E3516" s="52"/>
    </row>
    <row r="3517" spans="4:5" x14ac:dyDescent="0.2">
      <c r="D3517" s="52"/>
      <c r="E3517" s="52"/>
    </row>
    <row r="3518" spans="4:5" x14ac:dyDescent="0.2">
      <c r="D3518" s="52"/>
      <c r="E3518" s="52"/>
    </row>
    <row r="3519" spans="4:5" x14ac:dyDescent="0.2">
      <c r="D3519" s="52"/>
      <c r="E3519" s="52"/>
    </row>
    <row r="3520" spans="4:5" x14ac:dyDescent="0.2">
      <c r="D3520" s="52"/>
      <c r="E3520" s="52"/>
    </row>
    <row r="3521" spans="4:5" x14ac:dyDescent="0.2">
      <c r="D3521" s="52"/>
      <c r="E3521" s="52"/>
    </row>
    <row r="3522" spans="4:5" x14ac:dyDescent="0.2">
      <c r="D3522" s="52"/>
      <c r="E3522" s="52"/>
    </row>
    <row r="3523" spans="4:5" x14ac:dyDescent="0.2">
      <c r="D3523" s="52"/>
      <c r="E3523" s="52"/>
    </row>
    <row r="3524" spans="4:5" x14ac:dyDescent="0.2">
      <c r="D3524" s="52"/>
      <c r="E3524" s="52"/>
    </row>
    <row r="3525" spans="4:5" x14ac:dyDescent="0.2">
      <c r="D3525" s="52"/>
      <c r="E3525" s="52"/>
    </row>
    <row r="3526" spans="4:5" x14ac:dyDescent="0.2">
      <c r="D3526" s="52"/>
      <c r="E3526" s="52"/>
    </row>
    <row r="3527" spans="4:5" x14ac:dyDescent="0.2">
      <c r="D3527" s="52"/>
      <c r="E3527" s="52"/>
    </row>
    <row r="3528" spans="4:5" x14ac:dyDescent="0.2">
      <c r="D3528" s="52"/>
      <c r="E3528" s="52"/>
    </row>
    <row r="3529" spans="4:5" x14ac:dyDescent="0.2">
      <c r="D3529" s="52"/>
      <c r="E3529" s="52"/>
    </row>
    <row r="3530" spans="4:5" x14ac:dyDescent="0.2">
      <c r="D3530" s="52"/>
      <c r="E3530" s="52"/>
    </row>
    <row r="3531" spans="4:5" x14ac:dyDescent="0.2">
      <c r="D3531" s="52"/>
      <c r="E3531" s="52"/>
    </row>
    <row r="3532" spans="4:5" x14ac:dyDescent="0.2">
      <c r="D3532" s="52"/>
      <c r="E3532" s="52"/>
    </row>
    <row r="3533" spans="4:5" x14ac:dyDescent="0.2">
      <c r="D3533" s="52"/>
      <c r="E3533" s="52"/>
    </row>
    <row r="3534" spans="4:5" x14ac:dyDescent="0.2">
      <c r="D3534" s="52"/>
      <c r="E3534" s="52"/>
    </row>
    <row r="3535" spans="4:5" x14ac:dyDescent="0.2">
      <c r="D3535" s="52"/>
      <c r="E3535" s="52"/>
    </row>
    <row r="3536" spans="4:5" x14ac:dyDescent="0.2">
      <c r="D3536" s="52"/>
      <c r="E3536" s="52"/>
    </row>
    <row r="3537" spans="4:5" x14ac:dyDescent="0.2">
      <c r="D3537" s="52"/>
      <c r="E3537" s="52"/>
    </row>
    <row r="3538" spans="4:5" x14ac:dyDescent="0.2">
      <c r="D3538" s="52"/>
      <c r="E3538" s="52"/>
    </row>
    <row r="3539" spans="4:5" x14ac:dyDescent="0.2">
      <c r="D3539" s="52"/>
      <c r="E3539" s="52"/>
    </row>
    <row r="3540" spans="4:5" x14ac:dyDescent="0.2">
      <c r="D3540" s="52"/>
      <c r="E3540" s="52"/>
    </row>
    <row r="3541" spans="4:5" x14ac:dyDescent="0.2">
      <c r="D3541" s="52"/>
      <c r="E3541" s="52"/>
    </row>
    <row r="3542" spans="4:5" x14ac:dyDescent="0.2">
      <c r="D3542" s="52"/>
      <c r="E3542" s="52"/>
    </row>
    <row r="3543" spans="4:5" x14ac:dyDescent="0.2">
      <c r="D3543" s="52"/>
      <c r="E3543" s="52"/>
    </row>
    <row r="3544" spans="4:5" x14ac:dyDescent="0.2">
      <c r="D3544" s="52"/>
      <c r="E3544" s="52"/>
    </row>
    <row r="3545" spans="4:5" x14ac:dyDescent="0.2">
      <c r="D3545" s="52"/>
      <c r="E3545" s="52"/>
    </row>
    <row r="3546" spans="4:5" x14ac:dyDescent="0.2">
      <c r="D3546" s="52"/>
      <c r="E3546" s="52"/>
    </row>
    <row r="3547" spans="4:5" x14ac:dyDescent="0.2">
      <c r="D3547" s="52"/>
      <c r="E3547" s="52"/>
    </row>
    <row r="3548" spans="4:5" x14ac:dyDescent="0.2">
      <c r="D3548" s="52"/>
      <c r="E3548" s="52"/>
    </row>
    <row r="3549" spans="4:5" x14ac:dyDescent="0.2">
      <c r="D3549" s="52"/>
      <c r="E3549" s="52"/>
    </row>
    <row r="3550" spans="4:5" x14ac:dyDescent="0.2">
      <c r="D3550" s="52"/>
      <c r="E3550" s="52"/>
    </row>
    <row r="3551" spans="4:5" x14ac:dyDescent="0.2">
      <c r="D3551" s="52"/>
      <c r="E3551" s="52"/>
    </row>
    <row r="3552" spans="4:5" x14ac:dyDescent="0.2">
      <c r="D3552" s="52"/>
      <c r="E3552" s="52"/>
    </row>
    <row r="3553" spans="4:5" x14ac:dyDescent="0.2">
      <c r="D3553" s="52"/>
      <c r="E3553" s="52"/>
    </row>
    <row r="3554" spans="4:5" x14ac:dyDescent="0.2">
      <c r="D3554" s="52"/>
      <c r="E3554" s="52"/>
    </row>
    <row r="3555" spans="4:5" x14ac:dyDescent="0.2">
      <c r="D3555" s="52"/>
      <c r="E3555" s="52"/>
    </row>
    <row r="3556" spans="4:5" x14ac:dyDescent="0.2">
      <c r="D3556" s="52"/>
      <c r="E3556" s="52"/>
    </row>
    <row r="3557" spans="4:5" x14ac:dyDescent="0.2">
      <c r="D3557" s="52"/>
      <c r="E3557" s="52"/>
    </row>
    <row r="3558" spans="4:5" x14ac:dyDescent="0.2">
      <c r="D3558" s="52"/>
      <c r="E3558" s="52"/>
    </row>
    <row r="3559" spans="4:5" x14ac:dyDescent="0.2">
      <c r="D3559" s="52"/>
      <c r="E3559" s="52"/>
    </row>
    <row r="3560" spans="4:5" x14ac:dyDescent="0.2">
      <c r="D3560" s="52"/>
      <c r="E3560" s="52"/>
    </row>
    <row r="3561" spans="4:5" x14ac:dyDescent="0.2">
      <c r="D3561" s="52"/>
      <c r="E3561" s="52"/>
    </row>
    <row r="3562" spans="4:5" x14ac:dyDescent="0.2">
      <c r="D3562" s="52"/>
      <c r="E3562" s="52"/>
    </row>
    <row r="3563" spans="4:5" x14ac:dyDescent="0.2">
      <c r="D3563" s="52"/>
      <c r="E3563" s="52"/>
    </row>
    <row r="3564" spans="4:5" x14ac:dyDescent="0.2">
      <c r="D3564" s="52"/>
      <c r="E3564" s="52"/>
    </row>
    <row r="3565" spans="4:5" x14ac:dyDescent="0.2">
      <c r="D3565" s="52"/>
      <c r="E3565" s="52"/>
    </row>
    <row r="3566" spans="4:5" x14ac:dyDescent="0.2">
      <c r="D3566" s="52"/>
      <c r="E3566" s="52"/>
    </row>
    <row r="3567" spans="4:5" x14ac:dyDescent="0.2">
      <c r="D3567" s="52"/>
      <c r="E3567" s="52"/>
    </row>
    <row r="3568" spans="4:5" x14ac:dyDescent="0.2">
      <c r="D3568" s="52"/>
      <c r="E3568" s="52"/>
    </row>
    <row r="3569" spans="4:5" x14ac:dyDescent="0.2">
      <c r="D3569" s="52"/>
      <c r="E3569" s="52"/>
    </row>
    <row r="3570" spans="4:5" x14ac:dyDescent="0.2">
      <c r="D3570" s="52"/>
      <c r="E3570" s="52"/>
    </row>
    <row r="3571" spans="4:5" x14ac:dyDescent="0.2">
      <c r="D3571" s="52"/>
      <c r="E3571" s="52"/>
    </row>
    <row r="3572" spans="4:5" x14ac:dyDescent="0.2">
      <c r="D3572" s="52"/>
      <c r="E3572" s="52"/>
    </row>
    <row r="3573" spans="4:5" x14ac:dyDescent="0.2">
      <c r="D3573" s="52"/>
      <c r="E3573" s="52"/>
    </row>
    <row r="3574" spans="4:5" x14ac:dyDescent="0.2">
      <c r="D3574" s="52"/>
      <c r="E3574" s="52"/>
    </row>
    <row r="3575" spans="4:5" x14ac:dyDescent="0.2">
      <c r="D3575" s="52"/>
      <c r="E3575" s="52"/>
    </row>
    <row r="3576" spans="4:5" x14ac:dyDescent="0.2">
      <c r="D3576" s="52"/>
      <c r="E3576" s="52"/>
    </row>
    <row r="3577" spans="4:5" x14ac:dyDescent="0.2">
      <c r="D3577" s="52"/>
      <c r="E3577" s="52"/>
    </row>
    <row r="3578" spans="4:5" x14ac:dyDescent="0.2">
      <c r="D3578" s="52"/>
      <c r="E3578" s="52"/>
    </row>
    <row r="3579" spans="4:5" x14ac:dyDescent="0.2">
      <c r="D3579" s="52"/>
      <c r="E3579" s="52"/>
    </row>
    <row r="3580" spans="4:5" x14ac:dyDescent="0.2">
      <c r="D3580" s="52"/>
      <c r="E3580" s="52"/>
    </row>
    <row r="3581" spans="4:5" x14ac:dyDescent="0.2">
      <c r="D3581" s="52"/>
      <c r="E3581" s="52"/>
    </row>
    <row r="3582" spans="4:5" x14ac:dyDescent="0.2">
      <c r="D3582" s="52"/>
      <c r="E3582" s="52"/>
    </row>
    <row r="3583" spans="4:5" x14ac:dyDescent="0.2">
      <c r="D3583" s="52"/>
      <c r="E3583" s="52"/>
    </row>
    <row r="3584" spans="4:5" x14ac:dyDescent="0.2">
      <c r="D3584" s="52"/>
      <c r="E3584" s="52"/>
    </row>
    <row r="3585" spans="4:5" x14ac:dyDescent="0.2">
      <c r="D3585" s="52"/>
      <c r="E3585" s="52"/>
    </row>
    <row r="3586" spans="4:5" x14ac:dyDescent="0.2">
      <c r="D3586" s="52"/>
      <c r="E3586" s="52"/>
    </row>
    <row r="3587" spans="4:5" x14ac:dyDescent="0.2">
      <c r="D3587" s="52"/>
      <c r="E3587" s="52"/>
    </row>
    <row r="3588" spans="4:5" x14ac:dyDescent="0.2">
      <c r="D3588" s="52"/>
      <c r="E3588" s="52"/>
    </row>
    <row r="3589" spans="4:5" x14ac:dyDescent="0.2">
      <c r="D3589" s="52"/>
      <c r="E3589" s="52"/>
    </row>
    <row r="3590" spans="4:5" x14ac:dyDescent="0.2">
      <c r="D3590" s="52"/>
      <c r="E3590" s="52"/>
    </row>
    <row r="3591" spans="4:5" x14ac:dyDescent="0.2">
      <c r="D3591" s="52"/>
      <c r="E3591" s="52"/>
    </row>
    <row r="3592" spans="4:5" x14ac:dyDescent="0.2">
      <c r="D3592" s="52"/>
      <c r="E3592" s="52"/>
    </row>
    <row r="3593" spans="4:5" x14ac:dyDescent="0.2">
      <c r="D3593" s="52"/>
      <c r="E3593" s="52"/>
    </row>
    <row r="3594" spans="4:5" x14ac:dyDescent="0.2">
      <c r="D3594" s="52"/>
      <c r="E3594" s="52"/>
    </row>
    <row r="3595" spans="4:5" x14ac:dyDescent="0.2">
      <c r="D3595" s="52"/>
      <c r="E3595" s="52"/>
    </row>
    <row r="3596" spans="4:5" x14ac:dyDescent="0.2">
      <c r="D3596" s="52"/>
      <c r="E3596" s="52"/>
    </row>
    <row r="3597" spans="4:5" x14ac:dyDescent="0.2">
      <c r="D3597" s="52"/>
      <c r="E3597" s="52"/>
    </row>
    <row r="3598" spans="4:5" x14ac:dyDescent="0.2">
      <c r="D3598" s="52"/>
      <c r="E3598" s="52"/>
    </row>
    <row r="3599" spans="4:5" x14ac:dyDescent="0.2">
      <c r="D3599" s="52"/>
      <c r="E3599" s="52"/>
    </row>
    <row r="3600" spans="4:5" x14ac:dyDescent="0.2">
      <c r="D3600" s="52"/>
      <c r="E3600" s="52"/>
    </row>
    <row r="3601" spans="4:5" x14ac:dyDescent="0.2">
      <c r="D3601" s="52"/>
      <c r="E3601" s="52"/>
    </row>
    <row r="3602" spans="4:5" x14ac:dyDescent="0.2">
      <c r="D3602" s="52"/>
      <c r="E3602" s="52"/>
    </row>
    <row r="3603" spans="4:5" x14ac:dyDescent="0.2">
      <c r="D3603" s="52"/>
      <c r="E3603" s="52"/>
    </row>
    <row r="3604" spans="4:5" x14ac:dyDescent="0.2">
      <c r="D3604" s="52"/>
      <c r="E3604" s="52"/>
    </row>
    <row r="3605" spans="4:5" x14ac:dyDescent="0.2">
      <c r="D3605" s="52"/>
      <c r="E3605" s="52"/>
    </row>
    <row r="3606" spans="4:5" x14ac:dyDescent="0.2">
      <c r="D3606" s="52"/>
      <c r="E3606" s="52"/>
    </row>
    <row r="3607" spans="4:5" x14ac:dyDescent="0.2">
      <c r="D3607" s="52"/>
      <c r="E3607" s="52"/>
    </row>
    <row r="3608" spans="4:5" x14ac:dyDescent="0.2">
      <c r="D3608" s="52"/>
      <c r="E3608" s="52"/>
    </row>
    <row r="3609" spans="4:5" x14ac:dyDescent="0.2">
      <c r="D3609" s="52"/>
      <c r="E3609" s="52"/>
    </row>
    <row r="3610" spans="4:5" x14ac:dyDescent="0.2">
      <c r="D3610" s="52"/>
      <c r="E3610" s="52"/>
    </row>
    <row r="3611" spans="4:5" x14ac:dyDescent="0.2">
      <c r="D3611" s="52"/>
      <c r="E3611" s="52"/>
    </row>
    <row r="3612" spans="4:5" x14ac:dyDescent="0.2">
      <c r="D3612" s="52"/>
      <c r="E3612" s="52"/>
    </row>
    <row r="3613" spans="4:5" x14ac:dyDescent="0.2">
      <c r="D3613" s="52"/>
      <c r="E3613" s="52"/>
    </row>
    <row r="3614" spans="4:5" x14ac:dyDescent="0.2">
      <c r="D3614" s="52"/>
      <c r="E3614" s="52"/>
    </row>
    <row r="3615" spans="4:5" x14ac:dyDescent="0.2">
      <c r="D3615" s="52"/>
      <c r="E3615" s="52"/>
    </row>
    <row r="3616" spans="4:5" x14ac:dyDescent="0.2">
      <c r="D3616" s="52"/>
      <c r="E3616" s="52"/>
    </row>
    <row r="3617" spans="4:5" x14ac:dyDescent="0.2">
      <c r="D3617" s="52"/>
      <c r="E3617" s="52"/>
    </row>
    <row r="3618" spans="4:5" x14ac:dyDescent="0.2">
      <c r="D3618" s="52"/>
      <c r="E3618" s="52"/>
    </row>
    <row r="3619" spans="4:5" x14ac:dyDescent="0.2">
      <c r="D3619" s="52"/>
      <c r="E3619" s="52"/>
    </row>
    <row r="3620" spans="4:5" x14ac:dyDescent="0.2">
      <c r="D3620" s="52"/>
      <c r="E3620" s="52"/>
    </row>
    <row r="3621" spans="4:5" x14ac:dyDescent="0.2">
      <c r="D3621" s="52"/>
      <c r="E3621" s="52"/>
    </row>
    <row r="3622" spans="4:5" x14ac:dyDescent="0.2">
      <c r="D3622" s="52"/>
      <c r="E3622" s="52"/>
    </row>
    <row r="3623" spans="4:5" x14ac:dyDescent="0.2">
      <c r="D3623" s="52"/>
      <c r="E3623" s="52"/>
    </row>
    <row r="3624" spans="4:5" x14ac:dyDescent="0.2">
      <c r="D3624" s="52"/>
      <c r="E3624" s="52"/>
    </row>
    <row r="3625" spans="4:5" x14ac:dyDescent="0.2">
      <c r="D3625" s="52"/>
      <c r="E3625" s="52"/>
    </row>
    <row r="3626" spans="4:5" x14ac:dyDescent="0.2">
      <c r="D3626" s="52"/>
      <c r="E3626" s="52"/>
    </row>
    <row r="3627" spans="4:5" x14ac:dyDescent="0.2">
      <c r="D3627" s="52"/>
      <c r="E3627" s="52"/>
    </row>
    <row r="3628" spans="4:5" x14ac:dyDescent="0.2">
      <c r="D3628" s="52"/>
      <c r="E3628" s="52"/>
    </row>
    <row r="3629" spans="4:5" x14ac:dyDescent="0.2">
      <c r="D3629" s="52"/>
      <c r="E3629" s="52"/>
    </row>
    <row r="3630" spans="4:5" x14ac:dyDescent="0.2">
      <c r="D3630" s="52"/>
      <c r="E3630" s="52"/>
    </row>
    <row r="3631" spans="4:5" x14ac:dyDescent="0.2">
      <c r="D3631" s="52"/>
      <c r="E3631" s="52"/>
    </row>
    <row r="3632" spans="4:5" x14ac:dyDescent="0.2">
      <c r="D3632" s="52"/>
      <c r="E3632" s="52"/>
    </row>
    <row r="3633" spans="4:5" x14ac:dyDescent="0.2">
      <c r="D3633" s="52"/>
      <c r="E3633" s="52"/>
    </row>
    <row r="3634" spans="4:5" x14ac:dyDescent="0.2">
      <c r="D3634" s="52"/>
      <c r="E3634" s="52"/>
    </row>
    <row r="3635" spans="4:5" x14ac:dyDescent="0.2">
      <c r="D3635" s="52"/>
      <c r="E3635" s="52"/>
    </row>
    <row r="3636" spans="4:5" x14ac:dyDescent="0.2">
      <c r="D3636" s="52"/>
      <c r="E3636" s="52"/>
    </row>
    <row r="3637" spans="4:5" x14ac:dyDescent="0.2">
      <c r="D3637" s="52"/>
      <c r="E3637" s="52"/>
    </row>
    <row r="3638" spans="4:5" x14ac:dyDescent="0.2">
      <c r="D3638" s="52"/>
      <c r="E3638" s="52"/>
    </row>
    <row r="3639" spans="4:5" x14ac:dyDescent="0.2">
      <c r="D3639" s="52"/>
      <c r="E3639" s="52"/>
    </row>
    <row r="3640" spans="4:5" x14ac:dyDescent="0.2">
      <c r="D3640" s="52"/>
      <c r="E3640" s="52"/>
    </row>
    <row r="3641" spans="4:5" x14ac:dyDescent="0.2">
      <c r="D3641" s="52"/>
      <c r="E3641" s="52"/>
    </row>
    <row r="3642" spans="4:5" x14ac:dyDescent="0.2">
      <c r="D3642" s="52"/>
      <c r="E3642" s="52"/>
    </row>
    <row r="3643" spans="4:5" x14ac:dyDescent="0.2">
      <c r="D3643" s="52"/>
      <c r="E3643" s="52"/>
    </row>
    <row r="3644" spans="4:5" x14ac:dyDescent="0.2">
      <c r="D3644" s="52"/>
      <c r="E3644" s="52"/>
    </row>
    <row r="3645" spans="4:5" x14ac:dyDescent="0.2">
      <c r="D3645" s="52"/>
      <c r="E3645" s="52"/>
    </row>
    <row r="3646" spans="4:5" x14ac:dyDescent="0.2">
      <c r="D3646" s="52"/>
      <c r="E3646" s="52"/>
    </row>
    <row r="3647" spans="4:5" x14ac:dyDescent="0.2">
      <c r="D3647" s="52"/>
      <c r="E3647" s="52"/>
    </row>
    <row r="3648" spans="4:5" x14ac:dyDescent="0.2">
      <c r="D3648" s="52"/>
      <c r="E3648" s="52"/>
    </row>
    <row r="3649" spans="4:5" x14ac:dyDescent="0.2">
      <c r="D3649" s="52"/>
      <c r="E3649" s="52"/>
    </row>
    <row r="3650" spans="4:5" x14ac:dyDescent="0.2">
      <c r="D3650" s="52"/>
      <c r="E3650" s="52"/>
    </row>
    <row r="3651" spans="4:5" x14ac:dyDescent="0.2">
      <c r="D3651" s="52"/>
      <c r="E3651" s="52"/>
    </row>
    <row r="3652" spans="4:5" x14ac:dyDescent="0.2">
      <c r="D3652" s="52"/>
      <c r="E3652" s="52"/>
    </row>
    <row r="3653" spans="4:5" x14ac:dyDescent="0.2">
      <c r="D3653" s="52"/>
      <c r="E3653" s="52"/>
    </row>
    <row r="3654" spans="4:5" x14ac:dyDescent="0.2">
      <c r="D3654" s="52"/>
      <c r="E3654" s="52"/>
    </row>
    <row r="3655" spans="4:5" x14ac:dyDescent="0.2">
      <c r="D3655" s="52"/>
      <c r="E3655" s="52"/>
    </row>
    <row r="3656" spans="4:5" x14ac:dyDescent="0.2">
      <c r="D3656" s="52"/>
      <c r="E3656" s="52"/>
    </row>
    <row r="3657" spans="4:5" x14ac:dyDescent="0.2">
      <c r="D3657" s="52"/>
      <c r="E3657" s="52"/>
    </row>
    <row r="3658" spans="4:5" x14ac:dyDescent="0.2">
      <c r="D3658" s="52"/>
      <c r="E3658" s="52"/>
    </row>
    <row r="3659" spans="4:5" x14ac:dyDescent="0.2">
      <c r="D3659" s="52"/>
      <c r="E3659" s="52"/>
    </row>
    <row r="3660" spans="4:5" x14ac:dyDescent="0.2">
      <c r="D3660" s="52"/>
      <c r="E3660" s="52"/>
    </row>
    <row r="3661" spans="4:5" x14ac:dyDescent="0.2">
      <c r="D3661" s="52"/>
      <c r="E3661" s="52"/>
    </row>
    <row r="3662" spans="4:5" x14ac:dyDescent="0.2">
      <c r="D3662" s="52"/>
      <c r="E3662" s="52"/>
    </row>
  </sheetData>
  <sheetProtection password="DF86" sheet="1" objects="1" scenarios="1" autoFilter="0" pivotTables="0"/>
  <mergeCells count="38">
    <mergeCell ref="AH1:AK1"/>
    <mergeCell ref="BR1:BU1"/>
    <mergeCell ref="BV1:BY1"/>
    <mergeCell ref="E44:E55"/>
    <mergeCell ref="DV1:DY1"/>
    <mergeCell ref="DF1:DI1"/>
    <mergeCell ref="DJ1:DM1"/>
    <mergeCell ref="DN1:DQ1"/>
    <mergeCell ref="DR1:DU1"/>
    <mergeCell ref="CT1:CW1"/>
    <mergeCell ref="CX1:DA1"/>
    <mergeCell ref="DB1:DE1"/>
    <mergeCell ref="BZ1:CC1"/>
    <mergeCell ref="AD1:AG1"/>
    <mergeCell ref="Z1:AC1"/>
    <mergeCell ref="E28:E33"/>
    <mergeCell ref="DZ1:EC1"/>
    <mergeCell ref="BB1:BE1"/>
    <mergeCell ref="AT1:AW1"/>
    <mergeCell ref="AL1:AO1"/>
    <mergeCell ref="AP1:AS1"/>
    <mergeCell ref="AX1:BA1"/>
    <mergeCell ref="CD1:CG1"/>
    <mergeCell ref="CH1:CK1"/>
    <mergeCell ref="CL1:CO1"/>
    <mergeCell ref="CP1:CS1"/>
    <mergeCell ref="BF1:BI1"/>
    <mergeCell ref="BJ1:BM1"/>
    <mergeCell ref="BN1:BQ1"/>
    <mergeCell ref="E36:E40"/>
    <mergeCell ref="V1:Y1"/>
    <mergeCell ref="N1:Q1"/>
    <mergeCell ref="R1:U1"/>
    <mergeCell ref="F1:I1"/>
    <mergeCell ref="J1:M1"/>
    <mergeCell ref="E3:E4"/>
    <mergeCell ref="E20:E25"/>
    <mergeCell ref="E11:E17"/>
  </mergeCells>
  <phoneticPr fontId="0" type="noConversion"/>
  <pageMargins left="0.75" right="0.75" top="1" bottom="1" header="0.5" footer="0.5"/>
  <pageSetup scale="55" orientation="landscape" verticalDpi="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FeederNames</vt:lpstr>
      <vt:lpstr>Production data</vt:lpstr>
      <vt:lpstr>Sep 2025</vt:lpstr>
    </vt:vector>
  </TitlesOfParts>
  <Company>ENERCON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sridhars</dc:creator>
  <cp:lastModifiedBy>Shankar Bawaskar</cp:lastModifiedBy>
  <cp:lastPrinted>2023-09-15T04:35:30Z</cp:lastPrinted>
  <dcterms:created xsi:type="dcterms:W3CDTF">2003-02-14T07:14:29Z</dcterms:created>
  <dcterms:modified xsi:type="dcterms:W3CDTF">2025-10-01T07:46:57Z</dcterms:modified>
</cp:coreProperties>
</file>